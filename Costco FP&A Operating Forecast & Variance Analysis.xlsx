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l\Downloads\"/>
    </mc:Choice>
  </mc:AlternateContent>
  <xr:revisionPtr revIDLastSave="0" documentId="13_ncr:1_{1D2BB441-A86B-4697-85A6-6C0613B15CC3}" xr6:coauthVersionLast="47" xr6:coauthVersionMax="47" xr10:uidLastSave="{00000000-0000-0000-0000-000000000000}"/>
  <bookViews>
    <workbookView xWindow="-108" yWindow="-108" windowWidth="23256" windowHeight="13896" firstSheet="2" activeTab="7" xr2:uid="{BC21496F-7617-43D3-A174-7712ADAC5557}"/>
  </bookViews>
  <sheets>
    <sheet name="Cover Page" sheetId="1" r:id="rId1"/>
    <sheet name="Historical Financials" sheetId="3" r:id="rId2"/>
    <sheet name="Assumptions" sheetId="4" r:id="rId3"/>
    <sheet name="Operating Forecase" sheetId="5" r:id="rId4"/>
    <sheet name="Scenario Analysis" sheetId="6" r:id="rId5"/>
    <sheet name="Sensitivity Analysis" sheetId="7" r:id="rId6"/>
    <sheet name="Graphs Part 1" sheetId="8" r:id="rId7"/>
    <sheet name="Graphs Part 2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7" l="1"/>
  <c r="F4" i="7"/>
  <c r="D4" i="7"/>
  <c r="B4" i="7"/>
  <c r="C27" i="6"/>
  <c r="D27" i="6"/>
  <c r="C29" i="6"/>
  <c r="C22" i="6"/>
  <c r="D21" i="6"/>
  <c r="D22" i="6" s="1"/>
  <c r="C21" i="6"/>
  <c r="B30" i="6"/>
  <c r="B29" i="6"/>
  <c r="B28" i="6"/>
  <c r="B27" i="6"/>
  <c r="B26" i="6"/>
  <c r="B25" i="6"/>
  <c r="B24" i="6"/>
  <c r="D23" i="6"/>
  <c r="C23" i="6"/>
  <c r="B23" i="6"/>
  <c r="B22" i="6"/>
  <c r="B21" i="6"/>
  <c r="C20" i="6"/>
  <c r="D20" i="6"/>
  <c r="B20" i="6"/>
  <c r="D11" i="6"/>
  <c r="C9" i="6"/>
  <c r="D9" i="6"/>
  <c r="B8" i="6"/>
  <c r="D8" i="6"/>
  <c r="B9" i="6"/>
  <c r="B11" i="6"/>
  <c r="C11" i="6"/>
  <c r="C10" i="6"/>
  <c r="C8" i="6"/>
  <c r="C7" i="6"/>
  <c r="C6" i="6"/>
  <c r="C5" i="6"/>
  <c r="C4" i="6"/>
  <c r="D9" i="5"/>
  <c r="E9" i="5"/>
  <c r="F9" i="5"/>
  <c r="C9" i="5"/>
  <c r="C10" i="5" s="1"/>
  <c r="B9" i="5"/>
  <c r="C25" i="5"/>
  <c r="D25" i="5"/>
  <c r="E25" i="5"/>
  <c r="F25" i="5"/>
  <c r="D18" i="5"/>
  <c r="E18" i="5"/>
  <c r="F18" i="5"/>
  <c r="C18" i="5"/>
  <c r="D17" i="5"/>
  <c r="E17" i="5"/>
  <c r="F17" i="5"/>
  <c r="C17" i="5"/>
  <c r="C14" i="5"/>
  <c r="C13" i="5"/>
  <c r="F13" i="5"/>
  <c r="F14" i="5" s="1"/>
  <c r="D5" i="5"/>
  <c r="E5" i="5"/>
  <c r="F5" i="5"/>
  <c r="E4" i="5"/>
  <c r="D4" i="5"/>
  <c r="C4" i="5"/>
  <c r="F4" i="5"/>
  <c r="F7" i="5" s="1"/>
  <c r="C7" i="5"/>
  <c r="C5" i="5"/>
  <c r="D7" i="5"/>
  <c r="D10" i="5" s="1"/>
  <c r="E7" i="5"/>
  <c r="E10" i="5" s="1"/>
  <c r="B26" i="5"/>
  <c r="B25" i="5"/>
  <c r="B23" i="5"/>
  <c r="B21" i="5"/>
  <c r="B19" i="5"/>
  <c r="B18" i="5"/>
  <c r="B17" i="5"/>
  <c r="B15" i="5"/>
  <c r="B13" i="5"/>
  <c r="B14" i="5"/>
  <c r="B10" i="5"/>
  <c r="B7" i="5"/>
  <c r="B5" i="5"/>
  <c r="B4" i="5"/>
  <c r="D25" i="6" l="1"/>
  <c r="D24" i="6"/>
  <c r="D26" i="6" s="1"/>
  <c r="C24" i="6"/>
  <c r="C25" i="6"/>
  <c r="E13" i="5"/>
  <c r="E14" i="5" s="1"/>
  <c r="E15" i="5" s="1"/>
  <c r="E19" i="5" s="1"/>
  <c r="D13" i="5"/>
  <c r="D14" i="5" s="1"/>
  <c r="D15" i="5" s="1"/>
  <c r="D19" i="5" s="1"/>
  <c r="D21" i="5" s="1"/>
  <c r="D23" i="5" s="1"/>
  <c r="D26" i="5" s="1"/>
  <c r="C15" i="5"/>
  <c r="C19" i="5" s="1"/>
  <c r="F10" i="5"/>
  <c r="F15" i="5" s="1"/>
  <c r="F19" i="5" s="1"/>
  <c r="D29" i="6" l="1"/>
  <c r="D30" i="6" s="1"/>
  <c r="D28" i="6"/>
  <c r="C26" i="6"/>
  <c r="E21" i="5"/>
  <c r="E23" i="5" s="1"/>
  <c r="E26" i="5" s="1"/>
  <c r="F21" i="5"/>
  <c r="F23" i="5"/>
  <c r="F26" i="5" s="1"/>
  <c r="C21" i="5"/>
  <c r="C23" i="5" s="1"/>
  <c r="C26" i="5" s="1"/>
  <c r="C28" i="6" l="1"/>
  <c r="C30" i="6" l="1"/>
</calcChain>
</file>

<file path=xl/sharedStrings.xml><?xml version="1.0" encoding="utf-8"?>
<sst xmlns="http://schemas.openxmlformats.org/spreadsheetml/2006/main" count="158" uniqueCount="67">
  <si>
    <t xml:space="preserve"> </t>
  </si>
  <si>
    <t>Costco FP&amp;A Operating Forecase &amp; Variance Analysis</t>
  </si>
  <si>
    <t>Company: Costco Wholesale Corporation</t>
  </si>
  <si>
    <t>Ticker: COST</t>
  </si>
  <si>
    <t>Model Period: FY2023–FY2028</t>
  </si>
  <si>
    <t>Project Type: FP&amp;A / Operating Forecast / Variance Analysis</t>
  </si>
  <si>
    <t>Returns, Refunds, Discounts</t>
  </si>
  <si>
    <t>Total Net Revenue</t>
  </si>
  <si>
    <t>Expenses</t>
  </si>
  <si>
    <t>Total Expenses</t>
  </si>
  <si>
    <t>Earnings Before Interest &amp; Taxes</t>
  </si>
  <si>
    <t>Interest Expense</t>
  </si>
  <si>
    <t>Earnings Before Taxes</t>
  </si>
  <si>
    <t>Income Taxes</t>
  </si>
  <si>
    <t>Profit and Loss Statement</t>
  </si>
  <si>
    <t>[USD $ millions, except EPS]</t>
  </si>
  <si>
    <t>Line Item</t>
  </si>
  <si>
    <t>FY2023A</t>
  </si>
  <si>
    <t>FY2024A</t>
  </si>
  <si>
    <t>FY2025A</t>
  </si>
  <si>
    <t>Revenue stream 1 / Net Sales</t>
  </si>
  <si>
    <t>Revenue stream 2 / Membership Fees</t>
  </si>
  <si>
    <t>-</t>
  </si>
  <si>
    <t>Cost of Goods Sold / Merchandise Costs</t>
  </si>
  <si>
    <t>SG&amp;A</t>
  </si>
  <si>
    <t>Interest Income &amp; Other, Net</t>
  </si>
  <si>
    <t>Diluted Shares</t>
  </si>
  <si>
    <t>Diluted EPS</t>
  </si>
  <si>
    <t>FY2021A</t>
  </si>
  <si>
    <t>FY2022A</t>
  </si>
  <si>
    <t>Less: Net Income Attributable to Noncontrolling Interests</t>
  </si>
  <si>
    <t>Net Earnings Attributable to Costco</t>
  </si>
  <si>
    <t>Costco Official Gross Margin Check</t>
  </si>
  <si>
    <t>Net Sales</t>
  </si>
  <si>
    <t>Less: Merchandise Costs</t>
  </si>
  <si>
    <t>Official Merchandise Gross Margin</t>
  </si>
  <si>
    <t>Official Gross Margin %</t>
  </si>
  <si>
    <t>Gross Profit incl. Membership Fees</t>
  </si>
  <si>
    <t>Costco Forecast Assumptions</t>
  </si>
  <si>
    <t>FY2026E</t>
  </si>
  <si>
    <t>FY2027E</t>
  </si>
  <si>
    <t>FY2028E</t>
  </si>
  <si>
    <t>Net Sales Growth</t>
  </si>
  <si>
    <t>Membership Fee Growth</t>
  </si>
  <si>
    <t>Merchandise Costs % of Net Sales</t>
  </si>
  <si>
    <t>Assumption</t>
  </si>
  <si>
    <t>FY2029E</t>
  </si>
  <si>
    <t>SG&amp;A % of Total Revenue</t>
  </si>
  <si>
    <t>Tax Rate</t>
  </si>
  <si>
    <t>Operating Forecast</t>
  </si>
  <si>
    <t>Setup Part 1: Scenario Assumptions</t>
  </si>
  <si>
    <t>Setup Part 2: FY2029 Scenario Output</t>
  </si>
  <si>
    <t>Scenario Assumptions</t>
  </si>
  <si>
    <t>Downside</t>
  </si>
  <si>
    <t>Base Case</t>
  </si>
  <si>
    <t>Upside</t>
  </si>
  <si>
    <t>FY2029 Output</t>
  </si>
  <si>
    <t>Sensitivity Analysis - FY2029 Diluted EPS Sensitivity</t>
  </si>
  <si>
    <t>Chart 1: FY2029 Total Net Revenue by Scenario</t>
  </si>
  <si>
    <t>Scenario</t>
  </si>
  <si>
    <t>Chart 2: FY2029 Diluted EPS by Scenario</t>
  </si>
  <si>
    <t>Chart 3: FY2029 EBIT and Net Earnings by Scenario</t>
  </si>
  <si>
    <t>EBIT</t>
  </si>
  <si>
    <t>Net Earnings</t>
  </si>
  <si>
    <t>Chart 4: FY2029 Margin Comparison by Scenario</t>
  </si>
  <si>
    <t>EBIT Margin</t>
  </si>
  <si>
    <t>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</si>
</sst>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#,##0_)_%;\(#,##0\)_%;_(&quot;–&quot;_)_%;_(@_)_%"/>
    <numFmt numFmtId="165" formatCode="_(* #,##0.0_);_(* \(#,##0.0\);_(* &quot;-&quot;??_);_(@_)"/>
    <numFmt numFmtId="170" formatCode="0.00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b/>
      <sz val="14"/>
      <color rgb="FF132E57"/>
      <name val="Open Sans"/>
      <family val="2"/>
    </font>
    <font>
      <sz val="10"/>
      <name val="Arial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9"/>
      <color theme="1"/>
      <name val="Open Sans"/>
      <family val="2"/>
    </font>
    <font>
      <sz val="9"/>
      <color theme="1" tint="0.249977111117893"/>
      <name val="Open Sans"/>
      <family val="2"/>
    </font>
    <font>
      <sz val="20"/>
      <color rgb="FF707000"/>
      <name val="Times New Roman"/>
      <family val="1"/>
    </font>
    <font>
      <sz val="11"/>
      <color theme="4" tint="-0.249977111117893"/>
      <name val="Calibri"/>
      <family val="2"/>
      <scheme val="minor"/>
    </font>
    <font>
      <b/>
      <sz val="26"/>
      <color rgb="FFC88800"/>
      <name val="Open Sans"/>
      <family val="2"/>
    </font>
    <font>
      <sz val="18"/>
      <color theme="1"/>
      <name val="Open Sans"/>
      <family val="2"/>
    </font>
    <font>
      <sz val="18"/>
      <color theme="4" tint="-0.249977111117893"/>
      <name val="Open sans"/>
    </font>
    <font>
      <sz val="18"/>
      <color theme="4" tint="-0.249977111117893"/>
      <name val="Times New Roman"/>
      <family val="1"/>
    </font>
    <font>
      <sz val="18"/>
      <color theme="1"/>
      <name val="Calibri"/>
      <family val="2"/>
      <scheme val="minor"/>
    </font>
    <font>
      <sz val="18"/>
      <color theme="4" tint="-0.249977111117893"/>
      <name val="Open Sans"/>
      <family val="2"/>
    </font>
    <font>
      <sz val="10"/>
      <color rgb="FF3333FF"/>
      <name val="Open Sans"/>
      <family val="2"/>
    </font>
    <font>
      <b/>
      <sz val="10"/>
      <color theme="1"/>
      <name val="Open Sans"/>
      <family val="2"/>
    </font>
    <font>
      <sz val="10"/>
      <color theme="5" tint="-0.249977111117893"/>
      <name val="Open Sans"/>
      <family val="2"/>
    </font>
    <font>
      <sz val="11"/>
      <color theme="5" tint="-0.249977111117893"/>
      <name val="Calibri"/>
      <family val="2"/>
      <scheme val="minor"/>
    </font>
    <font>
      <b/>
      <sz val="18"/>
      <color theme="0"/>
      <name val="Open snas"/>
    </font>
    <font>
      <sz val="11"/>
      <color theme="0"/>
      <name val="Open snas"/>
    </font>
    <font>
      <b/>
      <sz val="11"/>
      <color theme="0"/>
      <name val="Open snas"/>
    </font>
    <font>
      <sz val="11"/>
      <color theme="5" tint="-0.24994659260841701"/>
      <name val="Calibri"/>
      <family val="2"/>
      <scheme val="minor"/>
    </font>
    <font>
      <b/>
      <sz val="14"/>
      <color theme="0"/>
      <name val="Open sans"/>
    </font>
    <font>
      <b/>
      <sz val="18"/>
      <color theme="0"/>
      <name val="Open sans"/>
    </font>
    <font>
      <b/>
      <sz val="16"/>
      <color theme="1"/>
      <name val="Calibri"/>
      <family val="2"/>
      <scheme val="minor"/>
    </font>
    <font>
      <b/>
      <sz val="11"/>
      <name val="Open snas"/>
    </font>
    <font>
      <b/>
      <sz val="18"/>
      <color theme="1"/>
      <name val="Calibri"/>
      <family val="2"/>
      <scheme val="minor"/>
    </font>
    <font>
      <b/>
      <sz val="18"/>
      <color theme="0"/>
      <name val="Open Sans"/>
      <family val="2"/>
    </font>
    <font>
      <b/>
      <sz val="2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7F2FF"/>
        <bgColor rgb="FFED942D"/>
      </patternFill>
    </fill>
    <fill>
      <patternFill patternType="solid">
        <fgColor rgb="FFE7F2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2" fillId="0" borderId="0" applyNumberFormat="0" applyFill="0" applyBorder="0" applyAlignment="0" applyProtection="0"/>
  </cellStyleXfs>
  <cellXfs count="126">
    <xf numFmtId="0" fontId="0" fillId="0" borderId="0" xfId="0"/>
    <xf numFmtId="0" fontId="5" fillId="2" borderId="0" xfId="0" applyFont="1" applyFill="1"/>
    <xf numFmtId="0" fontId="0" fillId="3" borderId="0" xfId="0" applyFill="1"/>
    <xf numFmtId="0" fontId="6" fillId="4" borderId="0" xfId="0" applyFont="1" applyFill="1"/>
    <xf numFmtId="0" fontId="7" fillId="5" borderId="0" xfId="2" applyFont="1" applyFill="1"/>
    <xf numFmtId="0" fontId="7" fillId="7" borderId="0" xfId="2" applyFont="1" applyFill="1"/>
    <xf numFmtId="0" fontId="7" fillId="7" borderId="0" xfId="2" applyFont="1" applyFill="1" applyProtection="1">
      <protection locked="0"/>
    </xf>
    <xf numFmtId="0" fontId="8" fillId="7" borderId="0" xfId="2" applyFont="1" applyFill="1"/>
    <xf numFmtId="0" fontId="9" fillId="7" borderId="0" xfId="2" applyFont="1" applyFill="1" applyAlignment="1">
      <alignment horizontal="right"/>
    </xf>
    <xf numFmtId="0" fontId="11" fillId="7" borderId="0" xfId="2" applyFont="1" applyFill="1"/>
    <xf numFmtId="0" fontId="13" fillId="7" borderId="0" xfId="2" applyFont="1" applyFill="1"/>
    <xf numFmtId="0" fontId="14" fillId="7" borderId="0" xfId="2" applyFont="1" applyFill="1"/>
    <xf numFmtId="164" fontId="14" fillId="7" borderId="0" xfId="2" applyNumberFormat="1" applyFont="1" applyFill="1"/>
    <xf numFmtId="164" fontId="15" fillId="7" borderId="0" xfId="2" applyNumberFormat="1" applyFont="1" applyFill="1"/>
    <xf numFmtId="0" fontId="17" fillId="7" borderId="0" xfId="2" applyFont="1" applyFill="1" applyProtection="1">
      <protection locked="0"/>
    </xf>
    <xf numFmtId="0" fontId="18" fillId="7" borderId="0" xfId="2" applyFont="1" applyFill="1"/>
    <xf numFmtId="0" fontId="18" fillId="7" borderId="0" xfId="2" applyFont="1" applyFill="1" applyProtection="1">
      <protection locked="0"/>
    </xf>
    <xf numFmtId="0" fontId="19" fillId="7" borderId="0" xfId="0" applyFont="1" applyFill="1"/>
    <xf numFmtId="0" fontId="20" fillId="7" borderId="0" xfId="2" applyFont="1" applyFill="1"/>
    <xf numFmtId="0" fontId="21" fillId="7" borderId="0" xfId="0" applyFont="1" applyFill="1"/>
    <xf numFmtId="0" fontId="22" fillId="7" borderId="0" xfId="2" applyFont="1" applyFill="1"/>
    <xf numFmtId="165" fontId="24" fillId="0" borderId="0" xfId="1" applyNumberFormat="1" applyFont="1" applyFill="1" applyBorder="1"/>
    <xf numFmtId="165" fontId="23" fillId="0" borderId="0" xfId="1" applyNumberFormat="1" applyFont="1" applyFill="1" applyBorder="1"/>
    <xf numFmtId="0" fontId="25" fillId="0" borderId="0" xfId="0" applyFont="1"/>
    <xf numFmtId="0" fontId="24" fillId="0" borderId="0" xfId="0" applyFont="1"/>
    <xf numFmtId="0" fontId="0" fillId="6" borderId="0" xfId="0" applyFill="1" applyAlignment="1">
      <alignment vertical="center" wrapText="1"/>
    </xf>
    <xf numFmtId="3" fontId="0" fillId="6" borderId="0" xfId="0" applyNumberFormat="1" applyFill="1" applyAlignment="1">
      <alignment vertical="center" wrapText="1"/>
    </xf>
    <xf numFmtId="0" fontId="4" fillId="8" borderId="0" xfId="0" applyFont="1" applyFill="1"/>
    <xf numFmtId="0" fontId="26" fillId="6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3" fontId="0" fillId="9" borderId="0" xfId="0" applyNumberFormat="1" applyFill="1" applyAlignment="1">
      <alignment vertical="center" wrapText="1"/>
    </xf>
    <xf numFmtId="0" fontId="28" fillId="8" borderId="0" xfId="0" applyFont="1" applyFill="1"/>
    <xf numFmtId="0" fontId="29" fillId="8" borderId="0" xfId="0" applyFont="1" applyFill="1"/>
    <xf numFmtId="0" fontId="2" fillId="8" borderId="0" xfId="0" applyFont="1" applyFill="1" applyAlignment="1">
      <alignment horizontal="center" vertical="center" wrapText="1"/>
    </xf>
    <xf numFmtId="0" fontId="30" fillId="8" borderId="0" xfId="0" applyFont="1" applyFill="1"/>
    <xf numFmtId="0" fontId="3" fillId="10" borderId="0" xfId="0" applyFont="1" applyFill="1" applyAlignment="1">
      <alignment vertical="center" wrapText="1"/>
    </xf>
    <xf numFmtId="3" fontId="0" fillId="10" borderId="0" xfId="0" applyNumberFormat="1" applyFill="1" applyAlignment="1">
      <alignment vertical="center" wrapText="1"/>
    </xf>
    <xf numFmtId="10" fontId="0" fillId="10" borderId="0" xfId="0" applyNumberFormat="1" applyFill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3" fontId="16" fillId="6" borderId="0" xfId="0" applyNumberFormat="1" applyFont="1" applyFill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33" fillId="6" borderId="0" xfId="0" applyFont="1" applyFill="1" applyAlignment="1">
      <alignment vertical="center" wrapText="1"/>
    </xf>
    <xf numFmtId="0" fontId="26" fillId="6" borderId="0" xfId="0" applyFont="1" applyFill="1" applyAlignment="1">
      <alignment vertical="center"/>
    </xf>
    <xf numFmtId="10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26" fillId="7" borderId="0" xfId="0" applyFont="1" applyFill="1" applyAlignment="1">
      <alignment vertical="center"/>
    </xf>
    <xf numFmtId="10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2" fontId="0" fillId="6" borderId="0" xfId="0" applyNumberFormat="1" applyFill="1" applyAlignment="1">
      <alignment vertical="center" wrapText="1"/>
    </xf>
    <xf numFmtId="2" fontId="16" fillId="6" borderId="0" xfId="0" applyNumberFormat="1" applyFont="1" applyFill="1" applyAlignment="1">
      <alignment vertical="center" wrapText="1"/>
    </xf>
    <xf numFmtId="0" fontId="30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31" fillId="0" borderId="0" xfId="0" applyFont="1" applyAlignment="1">
      <alignment vertical="center" wrapText="1"/>
    </xf>
    <xf numFmtId="0" fontId="27" fillId="8" borderId="0" xfId="0" applyFont="1" applyFill="1"/>
    <xf numFmtId="0" fontId="3" fillId="12" borderId="0" xfId="0" applyFont="1" applyFill="1" applyAlignment="1">
      <alignment horizontal="center" vertical="center" wrapText="1"/>
    </xf>
    <xf numFmtId="10" fontId="26" fillId="6" borderId="0" xfId="0" applyNumberFormat="1" applyFont="1" applyFill="1" applyAlignment="1">
      <alignment vertical="center" wrapText="1"/>
    </xf>
    <xf numFmtId="3" fontId="26" fillId="6" borderId="0" xfId="0" applyNumberFormat="1" applyFont="1" applyFill="1" applyAlignment="1">
      <alignment vertical="center" wrapText="1"/>
    </xf>
    <xf numFmtId="2" fontId="26" fillId="6" borderId="0" xfId="0" applyNumberFormat="1" applyFont="1" applyFill="1" applyAlignment="1">
      <alignment vertical="center" wrapText="1"/>
    </xf>
    <xf numFmtId="0" fontId="26" fillId="7" borderId="0" xfId="0" applyFont="1" applyFill="1" applyAlignment="1">
      <alignment vertical="center" wrapText="1"/>
    </xf>
    <xf numFmtId="10" fontId="26" fillId="7" borderId="0" xfId="0" applyNumberFormat="1" applyFont="1" applyFill="1" applyAlignment="1">
      <alignment vertical="center" wrapText="1"/>
    </xf>
    <xf numFmtId="2" fontId="26" fillId="7" borderId="0" xfId="0" applyNumberFormat="1" applyFont="1" applyFill="1" applyAlignment="1">
      <alignment vertical="center" wrapText="1"/>
    </xf>
    <xf numFmtId="10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3" fontId="26" fillId="0" borderId="0" xfId="0" applyNumberFormat="1" applyFont="1" applyAlignment="1">
      <alignment vertical="center" wrapText="1"/>
    </xf>
    <xf numFmtId="3" fontId="26" fillId="7" borderId="0" xfId="0" applyNumberFormat="1" applyFont="1" applyFill="1" applyAlignment="1">
      <alignment vertical="center" wrapText="1"/>
    </xf>
    <xf numFmtId="0" fontId="31" fillId="8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0" fontId="0" fillId="8" borderId="0" xfId="0" applyFill="1"/>
    <xf numFmtId="0" fontId="26" fillId="0" borderId="0" xfId="0" applyFont="1" applyFill="1" applyAlignment="1">
      <alignment vertical="center" wrapText="1"/>
    </xf>
    <xf numFmtId="3" fontId="26" fillId="0" borderId="0" xfId="0" applyNumberFormat="1" applyFont="1" applyFill="1" applyAlignment="1">
      <alignment vertical="center" wrapText="1"/>
    </xf>
    <xf numFmtId="2" fontId="26" fillId="0" borderId="0" xfId="0" applyNumberFormat="1" applyFont="1" applyFill="1" applyAlignment="1">
      <alignment vertical="center" wrapText="1"/>
    </xf>
    <xf numFmtId="0" fontId="29" fillId="11" borderId="0" xfId="0" applyFont="1" applyFill="1" applyAlignment="1">
      <alignment horizontal="center"/>
    </xf>
    <xf numFmtId="0" fontId="34" fillId="11" borderId="0" xfId="0" applyFont="1" applyFill="1" applyAlignment="1">
      <alignment horizontal="center"/>
    </xf>
    <xf numFmtId="0" fontId="0" fillId="7" borderId="0" xfId="0" applyFill="1" applyAlignment="1">
      <alignment vertical="center" wrapText="1"/>
    </xf>
    <xf numFmtId="10" fontId="0" fillId="7" borderId="0" xfId="0" applyNumberFormat="1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27" fillId="0" borderId="0" xfId="0" applyFont="1" applyFill="1" applyBorder="1"/>
    <xf numFmtId="0" fontId="0" fillId="0" borderId="0" xfId="0" applyFill="1" applyBorder="1"/>
    <xf numFmtId="0" fontId="29" fillId="0" borderId="0" xfId="0" applyFont="1" applyFill="1" applyBorder="1"/>
    <xf numFmtId="0" fontId="28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10" fontId="3" fillId="0" borderId="0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 applyAlignment="1">
      <alignment horizontal="center" vertical="center" wrapText="1"/>
    </xf>
    <xf numFmtId="10" fontId="0" fillId="0" borderId="0" xfId="0" applyNumberForma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2" fontId="3" fillId="0" borderId="0" xfId="0" applyNumberFormat="1" applyFont="1" applyFill="1" applyBorder="1" applyAlignment="1">
      <alignment vertical="center" wrapText="1"/>
    </xf>
    <xf numFmtId="0" fontId="34" fillId="0" borderId="0" xfId="0" applyFont="1" applyFill="1" applyBorder="1" applyAlignment="1"/>
    <xf numFmtId="0" fontId="29" fillId="0" borderId="0" xfId="0" applyFont="1" applyFill="1" applyBorder="1" applyAlignment="1"/>
    <xf numFmtId="170" fontId="3" fillId="0" borderId="0" xfId="0" applyNumberFormat="1" applyFont="1" applyFill="1" applyBorder="1" applyAlignment="1">
      <alignment horizontal="center" vertical="center" wrapText="1"/>
    </xf>
    <xf numFmtId="170" fontId="0" fillId="0" borderId="0" xfId="0" applyNumberFormat="1" applyFont="1" applyFill="1" applyBorder="1" applyAlignment="1">
      <alignment horizontal="center" vertical="center" wrapText="1"/>
    </xf>
    <xf numFmtId="170" fontId="0" fillId="0" borderId="0" xfId="0" applyNumberFormat="1" applyFill="1" applyBorder="1" applyAlignment="1">
      <alignment vertical="center" wrapText="1"/>
    </xf>
    <xf numFmtId="170" fontId="3" fillId="0" borderId="0" xfId="0" applyNumberFormat="1" applyFont="1" applyFill="1" applyBorder="1" applyAlignment="1">
      <alignment vertical="center" wrapText="1"/>
    </xf>
    <xf numFmtId="0" fontId="27" fillId="0" borderId="0" xfId="0" applyFont="1" applyFill="1" applyBorder="1" applyAlignment="1"/>
    <xf numFmtId="0" fontId="4" fillId="0" borderId="0" xfId="0" applyFont="1" applyFill="1" applyBorder="1" applyAlignment="1"/>
    <xf numFmtId="170" fontId="0" fillId="0" borderId="0" xfId="0" applyNumberFormat="1" applyFont="1" applyFill="1" applyBorder="1" applyAlignment="1">
      <alignment vertical="center" wrapText="1"/>
    </xf>
    <xf numFmtId="2" fontId="3" fillId="11" borderId="0" xfId="0" applyNumberFormat="1" applyFont="1" applyFill="1" applyAlignment="1">
      <alignment horizontal="center" vertical="center" wrapText="1"/>
    </xf>
    <xf numFmtId="10" fontId="3" fillId="11" borderId="0" xfId="0" applyNumberFormat="1" applyFont="1" applyFill="1"/>
    <xf numFmtId="10" fontId="3" fillId="11" borderId="0" xfId="0" applyNumberFormat="1" applyFont="1" applyFill="1" applyAlignment="1">
      <alignment vertical="center" wrapText="1"/>
    </xf>
    <xf numFmtId="10" fontId="3" fillId="11" borderId="0" xfId="0" applyNumberFormat="1" applyFont="1" applyFill="1" applyAlignment="1">
      <alignment horizontal="center" vertical="center" wrapText="1"/>
    </xf>
    <xf numFmtId="0" fontId="0" fillId="6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0" borderId="0" xfId="0" applyFont="1" applyFill="1" applyAlignment="1">
      <alignment vertical="center" wrapText="1"/>
    </xf>
    <xf numFmtId="10" fontId="0" fillId="11" borderId="0" xfId="0" applyNumberFormat="1" applyFont="1" applyFill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0" fillId="0" borderId="0" xfId="0" applyBorder="1"/>
    <xf numFmtId="0" fontId="3" fillId="11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right" vertical="center" wrapText="1"/>
    </xf>
    <xf numFmtId="3" fontId="0" fillId="7" borderId="0" xfId="0" applyNumberFormat="1" applyFill="1" applyAlignment="1">
      <alignment horizontal="right" vertical="center" wrapText="1"/>
    </xf>
    <xf numFmtId="3" fontId="0" fillId="6" borderId="0" xfId="0" applyNumberFormat="1" applyFill="1" applyAlignment="1">
      <alignment horizontal="right" vertical="center" wrapText="1"/>
    </xf>
    <xf numFmtId="0" fontId="0" fillId="6" borderId="0" xfId="0" applyFill="1" applyBorder="1" applyAlignment="1">
      <alignment vertical="center" wrapText="1"/>
    </xf>
    <xf numFmtId="0" fontId="36" fillId="8" borderId="0" xfId="0" applyFont="1" applyFill="1" applyAlignment="1">
      <alignment horizontal="center"/>
    </xf>
    <xf numFmtId="0" fontId="3" fillId="11" borderId="0" xfId="0" applyFont="1" applyFill="1" applyAlignment="1">
      <alignment vertical="center" wrapText="1"/>
    </xf>
    <xf numFmtId="3" fontId="0" fillId="7" borderId="0" xfId="0" applyNumberFormat="1" applyFill="1" applyAlignment="1">
      <alignment vertical="center" wrapText="1"/>
    </xf>
    <xf numFmtId="0" fontId="36" fillId="8" borderId="0" xfId="0" applyFont="1" applyFill="1" applyAlignment="1"/>
    <xf numFmtId="0" fontId="2" fillId="8" borderId="0" xfId="0" applyFont="1" applyFill="1" applyAlignment="1">
      <alignment horizontal="left"/>
    </xf>
    <xf numFmtId="0" fontId="3" fillId="12" borderId="0" xfId="0" applyFont="1" applyFill="1" applyBorder="1" applyAlignment="1">
      <alignment horizontal="center" vertical="center" wrapText="1"/>
    </xf>
    <xf numFmtId="3" fontId="0" fillId="7" borderId="0" xfId="0" applyNumberFormat="1" applyFill="1" applyBorder="1" applyAlignment="1">
      <alignment vertical="center" wrapText="1"/>
    </xf>
    <xf numFmtId="3" fontId="0" fillId="6" borderId="0" xfId="0" applyNumberFormat="1" applyFill="1" applyBorder="1" applyAlignment="1">
      <alignment vertical="center" wrapText="1"/>
    </xf>
    <xf numFmtId="0" fontId="37" fillId="8" borderId="0" xfId="0" applyFont="1" applyFill="1" applyBorder="1" applyAlignment="1">
      <alignment vertical="center"/>
    </xf>
    <xf numFmtId="10" fontId="0" fillId="6" borderId="0" xfId="0" applyNumberFormat="1" applyFill="1" applyBorder="1" applyAlignment="1">
      <alignment vertical="center" wrapText="1"/>
    </xf>
  </cellXfs>
  <cellStyles count="5">
    <cellStyle name="Comma" xfId="1" builtinId="3"/>
    <cellStyle name="Hyperlink 2 2" xfId="4" xr:uid="{CECA6664-B0EE-4C13-B1B8-CEAE00B9E0EC}"/>
    <cellStyle name="Normal" xfId="0" builtinId="0"/>
    <cellStyle name="Normal 2" xfId="3" xr:uid="{FA85FC41-60A3-43E7-B10A-67B4BCEEFB54}"/>
    <cellStyle name="Normal 2 2 2" xfId="2" xr:uid="{945596C1-BE73-4D5A-B14C-4A61A4E8E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FY2029 Total Net Revenue by Scenario</a:t>
            </a:r>
            <a:endParaRPr lang="en-US" b="1"/>
          </a:p>
        </c:rich>
      </c:tx>
      <c:layout>
        <c:manualLayout>
          <c:xMode val="edge"/>
          <c:yMode val="edge"/>
          <c:x val="0.1902290026246719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15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'Graphs Part 1'!$B$3</c:f>
              <c:strCache>
                <c:ptCount val="1"/>
                <c:pt idx="0">
                  <c:v>Total Net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5.0925337632079971E-17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52-46E2-9E42-54FBE165C7E4}"/>
                </c:ext>
              </c:extLst>
            </c:dLbl>
            <c:dLbl>
              <c:idx val="1"/>
              <c:layout>
                <c:manualLayout>
                  <c:x val="-1.0185067526415994E-16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52-46E2-9E42-54FBE165C7E4}"/>
                </c:ext>
              </c:extLst>
            </c:dLbl>
            <c:dLbl>
              <c:idx val="2"/>
              <c:layout>
                <c:manualLayout>
                  <c:x val="0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52-46E2-9E42-54FBE165C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Part 1'!$A$4:$A$6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'Graphs Part 1'!$B$4:$B$6</c:f>
              <c:numCache>
                <c:formatCode>#,##0</c:formatCode>
                <c:ptCount val="3"/>
                <c:pt idx="0">
                  <c:v>354081</c:v>
                </c:pt>
                <c:pt idx="1">
                  <c:v>388356</c:v>
                </c:pt>
                <c:pt idx="2">
                  <c:v>447437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2-46E2-9E42-54FBE165C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0072784"/>
        <c:axId val="730057904"/>
        <c:axId val="769237728"/>
      </c:bar3DChart>
      <c:catAx>
        <c:axId val="73007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57904"/>
        <c:crosses val="autoZero"/>
        <c:auto val="1"/>
        <c:lblAlgn val="ctr"/>
        <c:lblOffset val="100"/>
        <c:noMultiLvlLbl val="0"/>
      </c:catAx>
      <c:valAx>
        <c:axId val="73005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</a:t>
                </a:r>
                <a:r>
                  <a:rPr lang="en-US" b="1" baseline="0"/>
                  <a:t> Net Revenue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72784"/>
        <c:crosses val="autoZero"/>
        <c:crossBetween val="between"/>
      </c:valAx>
      <c:serAx>
        <c:axId val="769237728"/>
        <c:scaling>
          <c:orientation val="minMax"/>
        </c:scaling>
        <c:delete val="1"/>
        <c:axPos val="b"/>
        <c:majorTickMark val="none"/>
        <c:minorTickMark val="none"/>
        <c:tickLblPos val="nextTo"/>
        <c:crossAx val="73005790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FY2029 Diluted EPS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'Graphs Part 1'!$H$3</c:f>
              <c:strCache>
                <c:ptCount val="1"/>
                <c:pt idx="0">
                  <c:v>Diluted 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5562372188139061E-3"/>
                  <c:y val="-0.270750110963160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94-4247-8EDD-7903F8A146A8}"/>
                </c:ext>
              </c:extLst>
            </c:dLbl>
            <c:dLbl>
              <c:idx val="1"/>
              <c:layout>
                <c:manualLayout>
                  <c:x val="1.0224948875255624E-2"/>
                  <c:y val="-0.288504216600088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94-4247-8EDD-7903F8A146A8}"/>
                </c:ext>
              </c:extLst>
            </c:dLbl>
            <c:dLbl>
              <c:idx val="2"/>
              <c:layout>
                <c:manualLayout>
                  <c:x val="2.0449897750511249E-2"/>
                  <c:y val="-0.359520639147802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94-4247-8EDD-7903F8A146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Part 1'!$D$4:$D$6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'Graphs Part 1'!$H$4:$H$6</c:f>
              <c:numCache>
                <c:formatCode>#,##0</c:formatCode>
                <c:ptCount val="3"/>
                <c:pt idx="0">
                  <c:v>18.68</c:v>
                </c:pt>
                <c:pt idx="1">
                  <c:v>24.48</c:v>
                </c:pt>
                <c:pt idx="2">
                  <c:v>33.08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4-4247-8EDD-7903F8A146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30076624"/>
        <c:axId val="730078544"/>
        <c:axId val="0"/>
      </c:bar3DChart>
      <c:catAx>
        <c:axId val="73007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Scenario</a:t>
                </a:r>
              </a:p>
            </c:rich>
          </c:tx>
          <c:layout>
            <c:manualLayout>
              <c:xMode val="edge"/>
              <c:yMode val="edge"/>
              <c:x val="0.46893527687873371"/>
              <c:y val="0.89491666404548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78544"/>
        <c:crosses val="autoZero"/>
        <c:auto val="1"/>
        <c:lblAlgn val="ctr"/>
        <c:lblOffset val="100"/>
        <c:noMultiLvlLbl val="0"/>
      </c:catAx>
      <c:valAx>
        <c:axId val="730078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Diluted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7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FY2029</a:t>
            </a:r>
            <a:r>
              <a:rPr lang="en-US" baseline="0"/>
              <a:t> EBIT and Net Earnings by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'Graphs Part 2'!$B$2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987506246876563E-3"/>
                  <c:y val="-7.7821011673151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D3-42A6-8814-165B2B0A8E7D}"/>
                </c:ext>
              </c:extLst>
            </c:dLbl>
            <c:dLbl>
              <c:idx val="1"/>
              <c:layout>
                <c:manualLayout>
                  <c:x val="2.4987506246876563E-3"/>
                  <c:y val="-5.1880674448767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D3-42A6-8814-165B2B0A8E7D}"/>
                </c:ext>
              </c:extLst>
            </c:dLbl>
            <c:dLbl>
              <c:idx val="2"/>
              <c:layout>
                <c:manualLayout>
                  <c:x val="0"/>
                  <c:y val="-3.02637267617812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D3-42A6-8814-165B2B0A8E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Part 2'!$A$3:$A$5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'Graphs Part 2'!$B$3:$B$5</c:f>
              <c:numCache>
                <c:formatCode>#,##0</c:formatCode>
                <c:ptCount val="3"/>
                <c:pt idx="0">
                  <c:v>10732</c:v>
                </c:pt>
                <c:pt idx="1">
                  <c:v>14129</c:v>
                </c:pt>
                <c:pt idx="2">
                  <c:v>19142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3-42A6-8814-165B2B0A8E7D}"/>
            </c:ext>
          </c:extLst>
        </c:ser>
        <c:ser>
          <c:idx val="1"/>
          <c:order val="1"/>
          <c:tx>
            <c:strRef>
              <c:f>'Graphs Part 2'!$C$2</c:f>
              <c:strCache>
                <c:ptCount val="1"/>
                <c:pt idx="0">
                  <c:v>Net Earnings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'Graphs Part 2'!$A$3:$A$5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'Graphs Part 2'!$C$3:$C$5</c:f>
              <c:numCache>
                <c:formatCode>#,##0</c:formatCode>
                <c:ptCount val="3"/>
                <c:pt idx="0">
                  <c:v>8305</c:v>
                </c:pt>
                <c:pt idx="1">
                  <c:v>10885</c:v>
                </c:pt>
                <c:pt idx="2">
                  <c:v>14708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3-42A6-8814-165B2B0A8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8923776"/>
        <c:axId val="738935776"/>
        <c:axId val="0"/>
      </c:bar3DChart>
      <c:catAx>
        <c:axId val="7389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35776"/>
        <c:crosses val="autoZero"/>
        <c:auto val="1"/>
        <c:lblAlgn val="ctr"/>
        <c:lblOffset val="100"/>
        <c:noMultiLvlLbl val="0"/>
      </c:catAx>
      <c:valAx>
        <c:axId val="738935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  <a:r>
                  <a:rPr lang="en-US" baseline="0"/>
                  <a:t>Millions  USD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2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FY2029 Margin Comparison by Scenario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2311504689020614"/>
          <c:y val="5.2700922266139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EBIT Margin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38-4C0E-B136-580A528B43DC}"/>
                </c:ext>
              </c:extLst>
            </c:dLbl>
            <c:dLbl>
              <c:idx val="1"/>
              <c:layout>
                <c:manualLayout>
                  <c:x val="0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38-4C0E-B136-580A528B43DC}"/>
                </c:ext>
              </c:extLst>
            </c:dLbl>
            <c:dLbl>
              <c:idx val="2"/>
              <c:layout>
                <c:manualLayout>
                  <c:x val="0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38-4C0E-B136-580A528B43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Part 2'!$E$3:$E$5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'Graphs Part 2'!$F$3:$F$5</c:f>
              <c:numCache>
                <c:formatCode>0.00%</c:formatCode>
                <c:ptCount val="3"/>
                <c:pt idx="0">
                  <c:v>3.0300000000000001E-2</c:v>
                </c:pt>
                <c:pt idx="1">
                  <c:v>3.6400000000000002E-2</c:v>
                </c:pt>
                <c:pt idx="2">
                  <c:v>4.2799999999999998E-2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8-4C0E-B136-580A528B43DC}"/>
            </c:ext>
          </c:extLst>
        </c:ser>
        <c:ser>
          <c:idx val="1"/>
          <c:order val="1"/>
          <c:tx>
            <c:v>Net Margin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'Graphs Part 2'!$E$3:$E$5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'Graphs Part 2'!$G$3:$G$5</c:f>
              <c:numCache>
                <c:formatCode>0.00%</c:formatCode>
                <c:ptCount val="3"/>
                <c:pt idx="0">
                  <c:v>2.35E-2</c:v>
                </c:pt>
                <c:pt idx="1">
                  <c:v>2.8000000000000001E-2</c:v>
                </c:pt>
                <c:pt idx="2">
                  <c:v>3.2899999999999999E-2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8-4C0E-B136-580A528B43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38921856"/>
        <c:axId val="738925216"/>
        <c:axId val="0"/>
      </c:bar3DChart>
      <c:catAx>
        <c:axId val="73892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25216"/>
        <c:crosses val="autoZero"/>
        <c:auto val="1"/>
        <c:lblAlgn val="ctr"/>
        <c:lblOffset val="100"/>
        <c:noMultiLvlLbl val="0"/>
      </c:catAx>
      <c:valAx>
        <c:axId val="7389252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2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53340</xdr:rowOff>
    </xdr:from>
    <xdr:to>
      <xdr:col>5</xdr:col>
      <xdr:colOff>601980</xdr:colOff>
      <xdr:row>17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7F0F2B-7C94-FEF1-B6C5-4E7FF8481ADC}"/>
            </a:ext>
          </a:extLst>
        </xdr:cNvPr>
        <xdr:cNvSpPr/>
      </xdr:nvSpPr>
      <xdr:spPr>
        <a:xfrm>
          <a:off x="0" y="2354580"/>
          <a:ext cx="6911340" cy="89154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6</xdr:col>
      <xdr:colOff>15240</xdr:colOff>
      <xdr:row>22</xdr:row>
      <xdr:rowOff>22860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29BA96B1-CB86-7C71-B7A9-3D1102188D87}"/>
            </a:ext>
          </a:extLst>
        </xdr:cNvPr>
        <xdr:cNvSpPr txBox="1">
          <a:spLocks noChangeArrowheads="1"/>
        </xdr:cNvSpPr>
      </xdr:nvSpPr>
      <xdr:spPr bwMode="auto">
        <a:xfrm>
          <a:off x="0" y="2301240"/>
          <a:ext cx="6934200" cy="1851660"/>
        </a:xfrm>
        <a:prstGeom prst="rect">
          <a:avLst/>
        </a:prstGeom>
        <a:solidFill>
          <a:schemeClr val="bg1">
            <a:lumMod val="9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Quick Summary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r>
            <a:rPr lang="en-US">
              <a:solidFill>
                <a:schemeClr val="accent1">
                  <a:lumMod val="75000"/>
                </a:schemeClr>
              </a:solidFill>
            </a:rPr>
            <a:t>The FY2029 scenario analysis shows Costco’s Diluted EPS ranging from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$18.68 in the Downside Case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$33.08 in the Upside Case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, with the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Base Case at $24.48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.</a:t>
          </a:r>
        </a:p>
        <a:p>
          <a:r>
            <a:rPr lang="en-US">
              <a:solidFill>
                <a:schemeClr val="accent1">
                  <a:lumMod val="75000"/>
                </a:schemeClr>
              </a:solidFill>
            </a:rPr>
            <a:t>The sensitivity analysis tests how FY2029 Diluted EPS changes based on two key drivers: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Net Sales Growth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and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Merchandise Costs % of Net Sales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. In the sensitivity table, EPS ranges from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$22.01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at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6.50% net sales growth and 89.50% merchandise costs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$27.58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at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10.50% net sales growth and 88.70% merchandise costs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.</a:t>
          </a:r>
        </a:p>
        <a:p>
          <a:r>
            <a:rPr lang="en-US">
              <a:solidFill>
                <a:schemeClr val="accent1">
                  <a:lumMod val="75000"/>
                </a:schemeClr>
              </a:solidFill>
            </a:rPr>
            <a:t>The sensitivity table shows that Costco’s EPS is more heavily affected by changes in </a:t>
          </a:r>
          <a:r>
            <a:rPr lang="en-US" b="1">
              <a:solidFill>
                <a:schemeClr val="accent1">
                  <a:lumMod val="75000"/>
                </a:schemeClr>
              </a:solidFill>
            </a:rPr>
            <a:t>Merchandise Costs % of Net Sales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than by changes in Net Sales Growth. Because Costco operates with thin margins, even small changes in merchandise costs can have a meaningful impact on profitability.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7</xdr:row>
      <xdr:rowOff>160020</xdr:rowOff>
    </xdr:from>
    <xdr:to>
      <xdr:col>0</xdr:col>
      <xdr:colOff>5242560</xdr:colOff>
      <xdr:row>23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463E8-BC5F-C4EB-B365-50F6F489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7</xdr:row>
      <xdr:rowOff>99060</xdr:rowOff>
    </xdr:from>
    <xdr:to>
      <xdr:col>7</xdr:col>
      <xdr:colOff>266700</xdr:colOff>
      <xdr:row>24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E7613D-CD82-BA78-A1BA-55E58A2E7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26</xdr:row>
      <xdr:rowOff>175260</xdr:rowOff>
    </xdr:from>
    <xdr:to>
      <xdr:col>0</xdr:col>
      <xdr:colOff>5356860</xdr:colOff>
      <xdr:row>36</xdr:row>
      <xdr:rowOff>144780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4CBD12A-0F55-E363-0311-63D6DE81E313}"/>
            </a:ext>
          </a:extLst>
        </xdr:cNvPr>
        <xdr:cNvSpPr/>
      </xdr:nvSpPr>
      <xdr:spPr>
        <a:xfrm>
          <a:off x="114300" y="5036820"/>
          <a:ext cx="5242560" cy="179832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accent1">
                  <a:lumMod val="75000"/>
                </a:schemeClr>
              </a:solidFill>
            </a:rPr>
            <a:t>Costco’s FY2029 Total Net Revenue increases across the three scenarios, from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$354.1B in the Downside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$388.4B in the Base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and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$447.4B in the Upside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. The increase is mainly driven by stronger net sales growth and higher membership fee growth in the upside scenario.</a:t>
          </a:r>
        </a:p>
      </xdr:txBody>
    </xdr:sp>
    <xdr:clientData/>
  </xdr:twoCellAnchor>
  <xdr:twoCellAnchor>
    <xdr:from>
      <xdr:col>3</xdr:col>
      <xdr:colOff>335280</xdr:colOff>
      <xdr:row>26</xdr:row>
      <xdr:rowOff>152400</xdr:rowOff>
    </xdr:from>
    <xdr:to>
      <xdr:col>8</xdr:col>
      <xdr:colOff>83820</xdr:colOff>
      <xdr:row>37</xdr:row>
      <xdr:rowOff>91440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CD0F415-2C48-4D8F-9C76-85D0D30C2918}"/>
            </a:ext>
          </a:extLst>
        </xdr:cNvPr>
        <xdr:cNvSpPr/>
      </xdr:nvSpPr>
      <xdr:spPr>
        <a:xfrm>
          <a:off x="8260080" y="5013960"/>
          <a:ext cx="5242560" cy="195072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accent1">
                  <a:lumMod val="75000"/>
                </a:schemeClr>
              </a:solidFill>
            </a:rPr>
            <a:t>Costco’s FY2029 Diluted EPS ranges from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$18.68 in the Downside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$24.48 in the Base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and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$33.08 in the Upside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. This shows that earnings per share are highly sensitive to changes in revenue growth, merchandise costs, SG&amp;A expenses, and tax assumptions.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7</xdr:row>
      <xdr:rowOff>0</xdr:rowOff>
    </xdr:from>
    <xdr:to>
      <xdr:col>2</xdr:col>
      <xdr:colOff>1234440</xdr:colOff>
      <xdr:row>23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09B55-6DCE-72A0-FF60-39BF1888C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289560</xdr:colOff>
      <xdr:row>7</xdr:row>
      <xdr:rowOff>160020</xdr:rowOff>
    </xdr:from>
    <xdr:to>
      <xdr:col>6</xdr:col>
      <xdr:colOff>1524000</xdr:colOff>
      <xdr:row>23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706949-FC1D-C32A-E15B-C60F471EC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28</xdr:row>
      <xdr:rowOff>76200</xdr:rowOff>
    </xdr:from>
    <xdr:to>
      <xdr:col>2</xdr:col>
      <xdr:colOff>1287780</xdr:colOff>
      <xdr:row>39</xdr:row>
      <xdr:rowOff>99060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361031-AA43-1E08-E1F0-FD1D6AC3958B}"/>
            </a:ext>
          </a:extLst>
        </xdr:cNvPr>
        <xdr:cNvSpPr/>
      </xdr:nvSpPr>
      <xdr:spPr>
        <a:xfrm>
          <a:off x="114300" y="5890260"/>
          <a:ext cx="5394960" cy="203454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accent1">
                  <a:lumMod val="75000"/>
                </a:schemeClr>
              </a:solidFill>
            </a:rPr>
            <a:t>EBIT increases from </a:t>
          </a:r>
          <a:r>
            <a:rPr lang="en-US" sz="2000" b="1">
              <a:solidFill>
                <a:schemeClr val="accent1">
                  <a:lumMod val="75000"/>
                </a:schemeClr>
              </a:solidFill>
            </a:rPr>
            <a:t>$10.7B in the Downside Case</a:t>
          </a:r>
          <a:r>
            <a:rPr lang="en-US" sz="2000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sz="2000" b="1">
              <a:solidFill>
                <a:schemeClr val="accent1">
                  <a:lumMod val="75000"/>
                </a:schemeClr>
              </a:solidFill>
            </a:rPr>
            <a:t>$14.1B in the Base Case</a:t>
          </a:r>
          <a:r>
            <a:rPr lang="en-US" sz="2000">
              <a:solidFill>
                <a:schemeClr val="accent1">
                  <a:lumMod val="75000"/>
                </a:schemeClr>
              </a:solidFill>
            </a:rPr>
            <a:t> and </a:t>
          </a:r>
          <a:r>
            <a:rPr lang="en-US" sz="2000" b="1">
              <a:solidFill>
                <a:schemeClr val="accent1">
                  <a:lumMod val="75000"/>
                </a:schemeClr>
              </a:solidFill>
            </a:rPr>
            <a:t>$19.1B in the Upside Case</a:t>
          </a:r>
          <a:r>
            <a:rPr lang="en-US" sz="2000">
              <a:solidFill>
                <a:schemeClr val="accent1">
                  <a:lumMod val="75000"/>
                </a:schemeClr>
              </a:solidFill>
            </a:rPr>
            <a:t>. Net Earnings also improve from </a:t>
          </a:r>
          <a:r>
            <a:rPr lang="en-US" sz="2000" b="1">
              <a:solidFill>
                <a:schemeClr val="accent1">
                  <a:lumMod val="75000"/>
                </a:schemeClr>
              </a:solidFill>
            </a:rPr>
            <a:t>$8.3B</a:t>
          </a:r>
          <a:r>
            <a:rPr lang="en-US" sz="2000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sz="2000" b="1">
              <a:solidFill>
                <a:schemeClr val="accent1">
                  <a:lumMod val="75000"/>
                </a:schemeClr>
              </a:solidFill>
            </a:rPr>
            <a:t>$10.9B</a:t>
          </a:r>
          <a:r>
            <a:rPr lang="en-US" sz="2000">
              <a:solidFill>
                <a:schemeClr val="accent1">
                  <a:lumMod val="75000"/>
                </a:schemeClr>
              </a:solidFill>
            </a:rPr>
            <a:t> and </a:t>
          </a:r>
          <a:r>
            <a:rPr lang="en-US" sz="2000" b="1">
              <a:solidFill>
                <a:schemeClr val="accent1">
                  <a:lumMod val="75000"/>
                </a:schemeClr>
              </a:solidFill>
            </a:rPr>
            <a:t>$14.7B</a:t>
          </a:r>
          <a:r>
            <a:rPr lang="en-US" sz="2000">
              <a:solidFill>
                <a:schemeClr val="accent1">
                  <a:lumMod val="75000"/>
                </a:schemeClr>
              </a:solidFill>
            </a:rPr>
            <a:t>, showing stronger profitability as revenue growth improves and operating expenses become more favorable.</a:t>
          </a:r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6</xdr:col>
      <xdr:colOff>1173480</xdr:colOff>
      <xdr:row>38</xdr:row>
      <xdr:rowOff>30480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C3F4E5-318A-4BD9-8BED-7D27FC66323F}"/>
            </a:ext>
          </a:extLst>
        </xdr:cNvPr>
        <xdr:cNvSpPr/>
      </xdr:nvSpPr>
      <xdr:spPr>
        <a:xfrm>
          <a:off x="7757160" y="5814060"/>
          <a:ext cx="5394960" cy="185928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accent1">
                  <a:lumMod val="75000"/>
                </a:schemeClr>
              </a:solidFill>
            </a:rPr>
            <a:t>Costco’s EBIT Margin improves from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3.03% in the Downside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3.64% in the Base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and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4.28% in the Upside Case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. Net Margin also rises from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2.35%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to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2.80%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 and </a:t>
          </a:r>
          <a:r>
            <a:rPr lang="en-US" sz="1800" b="1">
              <a:solidFill>
                <a:schemeClr val="accent1">
                  <a:lumMod val="75000"/>
                </a:schemeClr>
              </a:solidFill>
            </a:rPr>
            <a:t>3.29%</a:t>
          </a:r>
          <a:r>
            <a:rPr lang="en-US" sz="1800">
              <a:solidFill>
                <a:schemeClr val="accent1">
                  <a:lumMod val="75000"/>
                </a:schemeClr>
              </a:solidFill>
            </a:rPr>
            <a:t>, showing that even small improvements in cost structure can meaningfully improve profitability.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88D2-E9A0-4C9D-BCCD-0C464FB2B567}">
  <dimension ref="A1:K44"/>
  <sheetViews>
    <sheetView topLeftCell="A3" workbookViewId="0">
      <selection activeCell="C25" sqref="C25"/>
    </sheetView>
  </sheetViews>
  <sheetFormatPr defaultColWidth="14.44140625" defaultRowHeight="15" customHeight="1"/>
  <cols>
    <col min="1" max="2" width="9.109375" style="2" customWidth="1"/>
    <col min="3" max="3" width="64.109375" style="2" bestFit="1" customWidth="1"/>
    <col min="4" max="4" width="51.88671875" style="2" customWidth="1"/>
    <col min="5" max="5" width="12" style="2" customWidth="1"/>
    <col min="6" max="6" width="16.44140625" style="2" customWidth="1"/>
    <col min="7" max="7" width="12.109375" style="2" customWidth="1"/>
    <col min="8" max="8" width="13.33203125" style="2" customWidth="1"/>
    <col min="9" max="11" width="9.109375" style="2" customWidth="1"/>
    <col min="12" max="16384" width="14.44140625" style="2"/>
  </cols>
  <sheetData>
    <row r="1" spans="1:1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customHeight="1">
      <c r="A2" s="1"/>
      <c r="B2" s="3"/>
      <c r="C2" s="3"/>
      <c r="D2" s="3"/>
      <c r="E2" s="3"/>
      <c r="F2" s="3"/>
      <c r="G2" s="4"/>
      <c r="H2" s="4"/>
      <c r="I2" s="1"/>
      <c r="J2" s="1"/>
      <c r="K2" s="1"/>
    </row>
    <row r="3" spans="1:11" ht="19.5" customHeight="1">
      <c r="A3" s="1"/>
      <c r="B3" s="3"/>
      <c r="C3" s="3"/>
      <c r="D3" s="3"/>
      <c r="E3" s="3"/>
      <c r="F3" s="3"/>
      <c r="G3" s="4"/>
      <c r="H3" s="4"/>
      <c r="I3" s="1"/>
      <c r="J3" s="1"/>
      <c r="K3" s="1"/>
    </row>
    <row r="4" spans="1:11" ht="19.5" customHeight="1">
      <c r="A4" s="1"/>
      <c r="B4" s="3"/>
      <c r="C4" s="3"/>
      <c r="D4" s="3"/>
      <c r="E4" s="3"/>
      <c r="F4" s="3"/>
      <c r="G4" s="4"/>
      <c r="H4" s="4"/>
      <c r="I4" s="1"/>
      <c r="J4" s="1"/>
      <c r="K4" s="1"/>
    </row>
    <row r="5" spans="1:11" ht="19.5" customHeight="1">
      <c r="A5" s="1"/>
      <c r="B5" s="3"/>
      <c r="C5" s="3"/>
      <c r="D5" s="3"/>
      <c r="E5" s="3"/>
      <c r="F5" s="3"/>
      <c r="G5" s="4"/>
      <c r="H5" s="4"/>
      <c r="I5" s="1"/>
      <c r="J5" s="1"/>
      <c r="K5" s="1"/>
    </row>
    <row r="6" spans="1:11" ht="19.5" customHeight="1">
      <c r="A6" s="1"/>
      <c r="B6" s="3"/>
      <c r="C6" s="3"/>
      <c r="D6" s="3"/>
      <c r="E6" s="3"/>
      <c r="F6" s="3"/>
      <c r="G6" s="4"/>
      <c r="H6" s="4"/>
      <c r="I6" s="1"/>
      <c r="J6" s="1"/>
      <c r="K6" s="1"/>
    </row>
    <row r="7" spans="1:11" ht="19.5" customHeight="1">
      <c r="A7" s="1"/>
      <c r="B7" s="3"/>
      <c r="C7" s="3"/>
      <c r="D7" s="3"/>
      <c r="E7" s="3"/>
      <c r="F7" s="3"/>
      <c r="G7" s="4"/>
      <c r="H7" s="4"/>
      <c r="I7" s="1"/>
      <c r="J7" s="1"/>
      <c r="K7" s="1"/>
    </row>
    <row r="8" spans="1:11" ht="19.5" customHeight="1">
      <c r="A8" s="1"/>
      <c r="B8" s="3"/>
      <c r="C8" s="3"/>
      <c r="D8" s="3"/>
      <c r="E8" s="3"/>
      <c r="F8" s="3"/>
      <c r="G8" s="4"/>
      <c r="H8" s="4"/>
      <c r="I8" s="1"/>
      <c r="J8" s="1"/>
      <c r="K8" s="1"/>
    </row>
    <row r="9" spans="1:11" ht="19.5" customHeight="1">
      <c r="A9" s="1"/>
      <c r="B9" s="5"/>
      <c r="C9" s="5"/>
      <c r="D9" s="5"/>
      <c r="E9" s="5"/>
      <c r="F9" s="5"/>
      <c r="G9" s="5"/>
      <c r="H9" s="5"/>
      <c r="I9" s="1"/>
      <c r="J9" s="1"/>
      <c r="K9" s="1"/>
    </row>
    <row r="10" spans="1:11" ht="19.5" customHeight="1">
      <c r="A10" s="1"/>
      <c r="B10" s="5"/>
      <c r="C10" s="6"/>
      <c r="D10" s="5"/>
      <c r="E10" s="7"/>
      <c r="F10" s="7"/>
      <c r="G10" s="5"/>
      <c r="H10" s="5"/>
      <c r="I10" s="1"/>
      <c r="J10" s="1"/>
      <c r="K10" s="1"/>
    </row>
    <row r="11" spans="1:11" ht="19.5" customHeight="1">
      <c r="A11" s="1"/>
      <c r="B11" s="5"/>
      <c r="C11" s="6"/>
      <c r="D11" s="5"/>
      <c r="E11" s="7"/>
      <c r="F11" s="7"/>
      <c r="G11" s="5"/>
      <c r="H11" s="5"/>
      <c r="I11" s="1"/>
      <c r="J11" s="1"/>
      <c r="K11" s="1"/>
    </row>
    <row r="12" spans="1:11" ht="19.5" customHeight="1">
      <c r="A12" s="1"/>
      <c r="B12" s="5"/>
      <c r="C12" s="6"/>
      <c r="D12" s="5"/>
      <c r="E12" s="7"/>
      <c r="F12" s="7"/>
      <c r="G12" s="5"/>
      <c r="H12" s="5"/>
      <c r="I12" s="1"/>
      <c r="J12" s="1"/>
      <c r="K12" s="1"/>
    </row>
    <row r="13" spans="1:11" ht="37.799999999999997">
      <c r="A13" s="1"/>
      <c r="B13" s="5"/>
      <c r="C13" s="14" t="s">
        <v>1</v>
      </c>
      <c r="D13" s="5"/>
      <c r="E13" s="5"/>
      <c r="F13" s="5"/>
      <c r="G13" s="8"/>
      <c r="H13" s="5"/>
      <c r="I13" s="1"/>
      <c r="J13" s="1"/>
      <c r="K13" s="1"/>
    </row>
    <row r="14" spans="1:11" ht="19.5" customHeight="1">
      <c r="A14" s="1"/>
      <c r="B14" s="15"/>
      <c r="C14" s="16"/>
      <c r="D14" s="15"/>
      <c r="E14" s="7"/>
      <c r="F14" s="7"/>
      <c r="G14" s="5"/>
      <c r="H14" s="5"/>
      <c r="I14" s="1"/>
      <c r="J14" s="1"/>
      <c r="K14" s="1"/>
    </row>
    <row r="15" spans="1:11" ht="26.4">
      <c r="A15" s="1"/>
      <c r="B15" s="15"/>
      <c r="C15" s="17" t="s">
        <v>2</v>
      </c>
      <c r="D15" s="18"/>
      <c r="E15" s="9"/>
      <c r="F15" s="9"/>
      <c r="G15" s="9"/>
      <c r="H15" s="5"/>
      <c r="I15" s="1"/>
      <c r="J15" s="1"/>
      <c r="K15" s="1"/>
    </row>
    <row r="16" spans="1:11" ht="26.4">
      <c r="A16" s="1"/>
      <c r="B16" s="15"/>
      <c r="C16" s="17" t="s">
        <v>3</v>
      </c>
      <c r="D16" s="18"/>
      <c r="E16" s="9"/>
      <c r="F16" s="9"/>
      <c r="G16" s="9"/>
      <c r="H16" s="5"/>
      <c r="I16" s="1"/>
      <c r="J16" s="1"/>
      <c r="K16" s="1"/>
    </row>
    <row r="17" spans="1:11" ht="26.4">
      <c r="A17" s="1"/>
      <c r="B17" s="15"/>
      <c r="C17" s="17" t="s">
        <v>4</v>
      </c>
      <c r="D17" s="18"/>
      <c r="E17" s="9"/>
      <c r="F17" s="9"/>
      <c r="G17" s="9"/>
      <c r="H17" s="5"/>
      <c r="I17" s="1"/>
      <c r="J17" s="1"/>
      <c r="K17" s="1"/>
    </row>
    <row r="18" spans="1:11" ht="26.4">
      <c r="A18" s="1"/>
      <c r="B18" s="15"/>
      <c r="C18" s="17" t="s">
        <v>5</v>
      </c>
      <c r="D18" s="18"/>
      <c r="E18" s="11"/>
      <c r="F18" s="11"/>
      <c r="G18" s="11"/>
      <c r="H18" s="10"/>
      <c r="I18" s="1"/>
      <c r="J18" s="1"/>
      <c r="K18" s="1"/>
    </row>
    <row r="19" spans="1:11" ht="14.25" customHeight="1">
      <c r="A19" s="1"/>
      <c r="B19" s="15"/>
      <c r="C19" s="19"/>
      <c r="D19" s="20"/>
      <c r="E19" s="11"/>
      <c r="F19" s="11"/>
      <c r="G19" s="11"/>
      <c r="H19" s="10"/>
      <c r="I19" s="1"/>
      <c r="J19" s="1"/>
      <c r="K19" s="1"/>
    </row>
    <row r="20" spans="1:11" ht="14.25" customHeight="1">
      <c r="A20" s="1"/>
      <c r="B20" s="10"/>
      <c r="C20" s="12"/>
      <c r="D20" s="11"/>
      <c r="E20" s="11"/>
      <c r="F20" s="11"/>
      <c r="G20" s="11"/>
      <c r="H20" s="10"/>
      <c r="I20" s="1"/>
      <c r="J20" s="1"/>
      <c r="K20" s="1"/>
    </row>
    <row r="21" spans="1:11" ht="14.25" customHeight="1">
      <c r="A21" s="1"/>
      <c r="B21" s="10"/>
      <c r="C21" s="12"/>
      <c r="D21" s="11"/>
      <c r="E21" s="11"/>
      <c r="F21" s="11"/>
      <c r="G21" s="11"/>
      <c r="H21" s="10"/>
      <c r="I21" s="1"/>
      <c r="J21" s="1"/>
      <c r="K21" s="1"/>
    </row>
    <row r="22" spans="1:11" ht="14.25" customHeight="1">
      <c r="A22" s="1"/>
      <c r="B22" s="10"/>
      <c r="C22" s="13"/>
      <c r="D22" s="11"/>
      <c r="E22" s="11"/>
      <c r="F22" s="11"/>
      <c r="G22" s="11"/>
      <c r="H22" s="10"/>
      <c r="I22" s="1"/>
      <c r="J22" s="1"/>
      <c r="K22" s="1"/>
    </row>
    <row r="23" spans="1:11" ht="14.25" customHeight="1">
      <c r="A23" s="1"/>
      <c r="B23" s="10"/>
      <c r="C23" s="12"/>
      <c r="D23" s="11"/>
      <c r="E23" s="11"/>
      <c r="F23" s="11"/>
      <c r="G23" s="11"/>
      <c r="H23" s="10"/>
      <c r="I23" s="1"/>
      <c r="J23" s="1"/>
      <c r="K23" s="1"/>
    </row>
    <row r="24" spans="1:11" ht="14.25" customHeight="1">
      <c r="A24" s="1"/>
      <c r="B24" s="10"/>
      <c r="C24" s="12"/>
      <c r="D24" s="11"/>
      <c r="E24" s="11"/>
      <c r="F24" s="11"/>
      <c r="G24" s="11"/>
      <c r="H24" s="10"/>
      <c r="I24" s="1"/>
      <c r="J24" s="1"/>
      <c r="K24" s="1"/>
    </row>
    <row r="25" spans="1:11" ht="14.25" customHeight="1">
      <c r="A25" s="1"/>
      <c r="B25" s="10"/>
      <c r="C25" s="12"/>
      <c r="D25" s="11"/>
      <c r="E25" s="11"/>
      <c r="F25" s="11"/>
      <c r="G25" s="11"/>
      <c r="H25" s="10"/>
      <c r="I25" s="1"/>
      <c r="J25" s="1"/>
      <c r="K25" s="1"/>
    </row>
    <row r="26" spans="1:11" ht="14.25" customHeight="1">
      <c r="A26" s="1"/>
      <c r="B26" s="10"/>
      <c r="C26" s="12"/>
      <c r="D26" s="11"/>
      <c r="E26" s="11"/>
      <c r="F26" s="11"/>
      <c r="G26" s="11"/>
      <c r="H26" s="10"/>
      <c r="I26" s="1"/>
      <c r="J26" s="1"/>
      <c r="K26" s="1"/>
    </row>
    <row r="27" spans="1:11" ht="14.25" customHeight="1">
      <c r="A27" s="1"/>
      <c r="B27" s="10"/>
      <c r="C27" s="12"/>
      <c r="D27" s="11"/>
      <c r="E27" s="11"/>
      <c r="F27" s="11"/>
      <c r="G27" s="11"/>
      <c r="H27" s="10"/>
      <c r="I27" s="1"/>
      <c r="J27" s="1"/>
      <c r="K27" s="1"/>
    </row>
    <row r="28" spans="1:11" ht="14.25" customHeight="1">
      <c r="A28" s="1"/>
      <c r="B28" s="10"/>
      <c r="C28" s="12"/>
      <c r="D28" s="11"/>
      <c r="E28" s="11"/>
      <c r="F28" s="11"/>
      <c r="G28" s="11"/>
      <c r="H28" s="10"/>
      <c r="I28" s="1"/>
      <c r="J28" s="1"/>
      <c r="K28" s="1"/>
    </row>
    <row r="29" spans="1:11" ht="19.5" customHeight="1">
      <c r="A29" s="1"/>
      <c r="B29" s="10"/>
      <c r="C29" s="12"/>
      <c r="D29" s="11"/>
      <c r="E29" s="11"/>
      <c r="F29" s="11"/>
      <c r="G29" s="11"/>
      <c r="H29" s="10"/>
      <c r="I29" s="1"/>
      <c r="J29" s="1"/>
      <c r="K29" s="1"/>
    </row>
    <row r="30" spans="1:11" ht="19.5" customHeight="1">
      <c r="A30" s="1"/>
      <c r="B30" s="10"/>
      <c r="C30" s="10"/>
      <c r="D30" s="10"/>
      <c r="E30" s="10"/>
      <c r="F30" s="10"/>
      <c r="G30" s="10"/>
      <c r="H30" s="10" t="s">
        <v>0</v>
      </c>
      <c r="I30" s="1"/>
      <c r="J30" s="1"/>
      <c r="K30" s="1"/>
    </row>
    <row r="31" spans="1:1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3AC7-77CC-409D-B428-59FE977BC39B}">
  <dimension ref="A1:F39"/>
  <sheetViews>
    <sheetView topLeftCell="A28" zoomScale="90" zoomScaleNormal="90" workbookViewId="0">
      <selection activeCell="F25" sqref="F25"/>
    </sheetView>
  </sheetViews>
  <sheetFormatPr defaultColWidth="20.77734375" defaultRowHeight="14.4"/>
  <sheetData>
    <row r="1" spans="1:6" ht="43.2" customHeight="1">
      <c r="A1" s="70" t="s">
        <v>14</v>
      </c>
      <c r="B1" s="70"/>
      <c r="C1" s="70"/>
      <c r="D1" s="70"/>
      <c r="E1" s="70"/>
      <c r="F1" s="70"/>
    </row>
    <row r="2" spans="1:6" ht="14.4" customHeight="1">
      <c r="A2" s="32" t="s">
        <v>15</v>
      </c>
      <c r="B2" s="31"/>
      <c r="C2" s="27"/>
      <c r="D2" s="27"/>
      <c r="E2" s="27"/>
      <c r="F2" s="27"/>
    </row>
    <row r="3" spans="1:6">
      <c r="A3" s="38" t="s">
        <v>16</v>
      </c>
      <c r="B3" s="38" t="s">
        <v>28</v>
      </c>
      <c r="C3" s="38" t="s">
        <v>29</v>
      </c>
      <c r="D3" s="38" t="s">
        <v>17</v>
      </c>
      <c r="E3" s="38" t="s">
        <v>18</v>
      </c>
      <c r="F3" s="38" t="s">
        <v>19</v>
      </c>
    </row>
    <row r="4" spans="1:6" ht="28.8">
      <c r="A4" s="28" t="s">
        <v>20</v>
      </c>
      <c r="B4" s="39">
        <v>192052</v>
      </c>
      <c r="C4" s="39">
        <v>222730</v>
      </c>
      <c r="D4" s="39">
        <v>237710</v>
      </c>
      <c r="E4" s="39">
        <v>249625</v>
      </c>
      <c r="F4" s="39">
        <v>269912</v>
      </c>
    </row>
    <row r="5" spans="1:6" ht="28.8">
      <c r="A5" s="28" t="s">
        <v>21</v>
      </c>
      <c r="B5" s="39">
        <v>3877</v>
      </c>
      <c r="C5" s="39">
        <v>4224</v>
      </c>
      <c r="D5" s="39">
        <v>4580</v>
      </c>
      <c r="E5" s="39">
        <v>4828</v>
      </c>
      <c r="F5" s="39">
        <v>5323</v>
      </c>
    </row>
    <row r="6" spans="1:6" ht="28.8">
      <c r="A6" s="28" t="s">
        <v>6</v>
      </c>
      <c r="B6" s="40" t="s">
        <v>22</v>
      </c>
      <c r="C6" s="40" t="s">
        <v>22</v>
      </c>
      <c r="D6" s="40" t="s">
        <v>22</v>
      </c>
      <c r="E6" s="40" t="s">
        <v>22</v>
      </c>
      <c r="F6" s="40" t="s">
        <v>22</v>
      </c>
    </row>
    <row r="7" spans="1:6">
      <c r="A7" s="29" t="s">
        <v>7</v>
      </c>
      <c r="B7" s="30">
        <v>195929</v>
      </c>
      <c r="C7" s="30">
        <v>226954</v>
      </c>
      <c r="D7" s="30">
        <v>242290</v>
      </c>
      <c r="E7" s="30">
        <v>254453</v>
      </c>
      <c r="F7" s="30">
        <v>275235</v>
      </c>
    </row>
    <row r="8" spans="1:6">
      <c r="A8" s="25"/>
      <c r="B8" s="40"/>
      <c r="C8" s="40"/>
      <c r="D8" s="40"/>
      <c r="E8" s="40"/>
      <c r="F8" s="40"/>
    </row>
    <row r="9" spans="1:6" ht="28.8">
      <c r="A9" s="28" t="s">
        <v>23</v>
      </c>
      <c r="B9" s="39">
        <v>170684</v>
      </c>
      <c r="C9" s="39">
        <v>199382</v>
      </c>
      <c r="D9" s="39">
        <v>212586</v>
      </c>
      <c r="E9" s="39">
        <v>222358</v>
      </c>
      <c r="F9" s="39">
        <v>239886</v>
      </c>
    </row>
    <row r="10" spans="1:6" ht="28.8">
      <c r="A10" s="29" t="s">
        <v>37</v>
      </c>
      <c r="B10" s="30">
        <v>25245</v>
      </c>
      <c r="C10" s="30">
        <v>27572</v>
      </c>
      <c r="D10" s="30">
        <v>29704</v>
      </c>
      <c r="E10" s="30">
        <v>32095</v>
      </c>
      <c r="F10" s="30">
        <v>35349</v>
      </c>
    </row>
    <row r="11" spans="1:6">
      <c r="A11" s="25"/>
      <c r="B11" s="25"/>
      <c r="C11" s="25"/>
      <c r="D11" s="25"/>
      <c r="E11" s="25"/>
      <c r="F11" s="25"/>
    </row>
    <row r="12" spans="1:6" ht="21">
      <c r="A12" s="41" t="s">
        <v>8</v>
      </c>
      <c r="B12" s="25"/>
      <c r="C12" s="25"/>
      <c r="D12" s="25"/>
      <c r="E12" s="25"/>
      <c r="F12" s="25"/>
    </row>
    <row r="13" spans="1:6">
      <c r="A13" s="28" t="s">
        <v>24</v>
      </c>
      <c r="B13" s="39">
        <v>18537</v>
      </c>
      <c r="C13" s="39">
        <v>19779</v>
      </c>
      <c r="D13" s="39">
        <v>21590</v>
      </c>
      <c r="E13" s="39">
        <v>22810</v>
      </c>
      <c r="F13" s="39">
        <v>24966</v>
      </c>
    </row>
    <row r="14" spans="1:6">
      <c r="A14" s="29" t="s">
        <v>9</v>
      </c>
      <c r="B14" s="30">
        <v>18537</v>
      </c>
      <c r="C14" s="30">
        <v>19779</v>
      </c>
      <c r="D14" s="30">
        <v>21590</v>
      </c>
      <c r="E14" s="30">
        <v>22810</v>
      </c>
      <c r="F14" s="30">
        <v>24966</v>
      </c>
    </row>
    <row r="15" spans="1:6" ht="28.8">
      <c r="A15" s="29" t="s">
        <v>10</v>
      </c>
      <c r="B15" s="30">
        <v>6708</v>
      </c>
      <c r="C15" s="30">
        <v>7793</v>
      </c>
      <c r="D15" s="30">
        <v>8114</v>
      </c>
      <c r="E15" s="30">
        <v>9285</v>
      </c>
      <c r="F15" s="30">
        <v>10383</v>
      </c>
    </row>
    <row r="16" spans="1:6">
      <c r="A16" s="25"/>
      <c r="B16" s="25"/>
      <c r="C16" s="25"/>
      <c r="D16" s="25"/>
      <c r="E16" s="25"/>
      <c r="F16" s="25"/>
    </row>
    <row r="17" spans="1:6">
      <c r="A17" s="28" t="s">
        <v>11</v>
      </c>
      <c r="B17" s="40">
        <v>171</v>
      </c>
      <c r="C17" s="40">
        <v>158</v>
      </c>
      <c r="D17" s="40">
        <v>160</v>
      </c>
      <c r="E17" s="40">
        <v>169</v>
      </c>
      <c r="F17" s="40">
        <v>154</v>
      </c>
    </row>
    <row r="18" spans="1:6" ht="28.8">
      <c r="A18" s="28" t="s">
        <v>25</v>
      </c>
      <c r="B18" s="40">
        <v>143</v>
      </c>
      <c r="C18" s="40">
        <v>205</v>
      </c>
      <c r="D18" s="40">
        <v>533</v>
      </c>
      <c r="E18" s="40">
        <v>624</v>
      </c>
      <c r="F18" s="40">
        <v>589</v>
      </c>
    </row>
    <row r="19" spans="1:6">
      <c r="A19" s="29" t="s">
        <v>12</v>
      </c>
      <c r="B19" s="30">
        <v>6680</v>
      </c>
      <c r="C19" s="30">
        <v>7840</v>
      </c>
      <c r="D19" s="30">
        <v>8487</v>
      </c>
      <c r="E19" s="30">
        <v>9740</v>
      </c>
      <c r="F19" s="30">
        <v>10818</v>
      </c>
    </row>
    <row r="20" spans="1:6">
      <c r="A20" s="25"/>
      <c r="B20" s="25"/>
      <c r="C20" s="25"/>
      <c r="D20" s="25"/>
      <c r="E20" s="25"/>
      <c r="F20" s="25"/>
    </row>
    <row r="21" spans="1:6">
      <c r="A21" s="28" t="s">
        <v>13</v>
      </c>
      <c r="B21" s="39">
        <v>1601</v>
      </c>
      <c r="C21" s="39">
        <v>1925</v>
      </c>
      <c r="D21" s="39">
        <v>2195</v>
      </c>
      <c r="E21" s="39">
        <v>2373</v>
      </c>
      <c r="F21" s="39">
        <v>2719</v>
      </c>
    </row>
    <row r="22" spans="1:6" ht="57.6">
      <c r="A22" s="28" t="s">
        <v>30</v>
      </c>
      <c r="B22" s="40">
        <v>72</v>
      </c>
      <c r="C22" s="40">
        <v>71</v>
      </c>
      <c r="D22" s="40"/>
      <c r="E22" s="40" t="s">
        <v>22</v>
      </c>
      <c r="F22" s="40" t="s">
        <v>22</v>
      </c>
    </row>
    <row r="23" spans="1:6" ht="28.8">
      <c r="A23" s="29" t="s">
        <v>31</v>
      </c>
      <c r="B23" s="30">
        <v>5007</v>
      </c>
      <c r="C23" s="30">
        <v>5844</v>
      </c>
      <c r="D23" s="30">
        <v>6292</v>
      </c>
      <c r="E23" s="30">
        <v>7367</v>
      </c>
      <c r="F23" s="30">
        <v>8099</v>
      </c>
    </row>
    <row r="24" spans="1:6">
      <c r="A24" s="25"/>
      <c r="B24" s="48"/>
      <c r="C24" s="48"/>
      <c r="D24" s="48"/>
      <c r="E24" s="48"/>
      <c r="F24" s="48"/>
    </row>
    <row r="25" spans="1:6">
      <c r="A25" s="28" t="s">
        <v>26</v>
      </c>
      <c r="B25" s="49">
        <v>444.346</v>
      </c>
      <c r="C25" s="49">
        <v>444.75700000000001</v>
      </c>
      <c r="D25" s="49">
        <v>444.452</v>
      </c>
      <c r="E25" s="49">
        <v>444.75900000000001</v>
      </c>
      <c r="F25" s="49">
        <v>444.803</v>
      </c>
    </row>
    <row r="26" spans="1:6">
      <c r="A26" s="28" t="s">
        <v>27</v>
      </c>
      <c r="B26" s="40">
        <v>11.27</v>
      </c>
      <c r="C26" s="40">
        <v>13.14</v>
      </c>
      <c r="D26" s="40">
        <v>14.16</v>
      </c>
      <c r="E26" s="40">
        <v>16.559999999999999</v>
      </c>
      <c r="F26" s="40">
        <v>18.21</v>
      </c>
    </row>
    <row r="27" spans="1:6" ht="15">
      <c r="A27" s="24"/>
      <c r="B27" s="21"/>
      <c r="C27" s="21"/>
      <c r="D27" s="21"/>
      <c r="E27" s="21"/>
      <c r="F27" s="21"/>
    </row>
    <row r="29" spans="1:6" ht="15">
      <c r="A29" s="24"/>
      <c r="B29" s="21"/>
      <c r="C29" s="21"/>
      <c r="D29" s="21"/>
      <c r="E29" s="21"/>
      <c r="F29" s="21"/>
    </row>
    <row r="30" spans="1:6" ht="15">
      <c r="A30" s="23"/>
      <c r="B30" s="22"/>
      <c r="C30" s="22"/>
      <c r="D30" s="22"/>
      <c r="E30" s="22"/>
      <c r="F30" s="22"/>
    </row>
    <row r="31" spans="1:6" ht="15">
      <c r="A31" s="24"/>
      <c r="B31" s="21"/>
      <c r="C31" s="21"/>
      <c r="D31" s="21"/>
      <c r="E31" s="21"/>
      <c r="F31" s="21"/>
    </row>
    <row r="34" spans="1:6" ht="21">
      <c r="A34" s="69" t="s">
        <v>32</v>
      </c>
      <c r="B34" s="69"/>
      <c r="C34" s="69"/>
      <c r="D34" s="69"/>
      <c r="E34" s="69"/>
      <c r="F34" s="69"/>
    </row>
    <row r="35" spans="1:6">
      <c r="A35" s="34"/>
      <c r="B35" s="33" t="s">
        <v>28</v>
      </c>
      <c r="C35" s="33" t="s">
        <v>29</v>
      </c>
      <c r="D35" s="33" t="s">
        <v>17</v>
      </c>
      <c r="E35" s="33" t="s">
        <v>18</v>
      </c>
      <c r="F35" s="33" t="s">
        <v>19</v>
      </c>
    </row>
    <row r="36" spans="1:6">
      <c r="A36" s="25" t="s">
        <v>33</v>
      </c>
      <c r="B36" s="26">
        <v>192052</v>
      </c>
      <c r="C36" s="26">
        <v>222730</v>
      </c>
      <c r="D36" s="26">
        <v>237710</v>
      </c>
      <c r="E36" s="26">
        <v>249625</v>
      </c>
      <c r="F36" s="26">
        <v>269912</v>
      </c>
    </row>
    <row r="37" spans="1:6" ht="28.8">
      <c r="A37" s="25" t="s">
        <v>34</v>
      </c>
      <c r="B37" s="26">
        <v>170684</v>
      </c>
      <c r="C37" s="26">
        <v>199382</v>
      </c>
      <c r="D37" s="26">
        <v>212586</v>
      </c>
      <c r="E37" s="26">
        <v>222358</v>
      </c>
      <c r="F37" s="26">
        <v>239886</v>
      </c>
    </row>
    <row r="38" spans="1:6" ht="28.8">
      <c r="A38" s="35" t="s">
        <v>35</v>
      </c>
      <c r="B38" s="36">
        <v>21368</v>
      </c>
      <c r="C38" s="36">
        <v>23348</v>
      </c>
      <c r="D38" s="36">
        <v>25124</v>
      </c>
      <c r="E38" s="36">
        <v>27267</v>
      </c>
      <c r="F38" s="36">
        <v>30026</v>
      </c>
    </row>
    <row r="39" spans="1:6">
      <c r="A39" s="35" t="s">
        <v>36</v>
      </c>
      <c r="B39" s="37">
        <v>0.1113</v>
      </c>
      <c r="C39" s="37">
        <v>0.1048</v>
      </c>
      <c r="D39" s="37">
        <v>0.1057</v>
      </c>
      <c r="E39" s="37">
        <v>0.10920000000000001</v>
      </c>
      <c r="F39" s="37">
        <v>0.11119999999999999</v>
      </c>
    </row>
  </sheetData>
  <mergeCells count="2">
    <mergeCell ref="A34:F34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26AA-8789-45A4-AE01-AE437BED1E56}">
  <dimension ref="A1:E11"/>
  <sheetViews>
    <sheetView workbookViewId="0">
      <selection activeCell="B21" sqref="B21"/>
    </sheetView>
  </sheetViews>
  <sheetFormatPr defaultRowHeight="14.4"/>
  <cols>
    <col min="1" max="1" width="28.88671875" bestFit="1" customWidth="1"/>
    <col min="2" max="5" width="25.77734375" customWidth="1"/>
  </cols>
  <sheetData>
    <row r="1" spans="1:5" ht="26.4">
      <c r="A1" s="71" t="s">
        <v>38</v>
      </c>
      <c r="B1" s="71"/>
      <c r="C1" s="71"/>
      <c r="D1" s="71"/>
      <c r="E1" s="71"/>
    </row>
    <row r="2" spans="1:5">
      <c r="A2" s="32" t="s">
        <v>15</v>
      </c>
      <c r="B2" s="32"/>
      <c r="C2" s="27"/>
      <c r="D2" s="27"/>
      <c r="E2" s="27"/>
    </row>
    <row r="3" spans="1:5">
      <c r="A3" s="38" t="s">
        <v>45</v>
      </c>
      <c r="B3" s="38" t="s">
        <v>39</v>
      </c>
      <c r="C3" s="38" t="s">
        <v>40</v>
      </c>
      <c r="D3" s="38" t="s">
        <v>41</v>
      </c>
      <c r="E3" s="38" t="s">
        <v>46</v>
      </c>
    </row>
    <row r="4" spans="1:5" ht="19.95" customHeight="1">
      <c r="A4" s="42" t="s">
        <v>42</v>
      </c>
      <c r="B4" s="43">
        <v>8.9597078147774803E-2</v>
      </c>
      <c r="C4" s="43">
        <v>8.9597078147774789E-2</v>
      </c>
      <c r="D4" s="43">
        <v>8.9597078147774789E-2</v>
      </c>
      <c r="E4" s="43">
        <v>8.9597078147774789E-2</v>
      </c>
    </row>
    <row r="5" spans="1:5" ht="19.95" customHeight="1">
      <c r="A5" s="45" t="s">
        <v>43</v>
      </c>
      <c r="B5" s="46">
        <v>8.2614473331575955E-2</v>
      </c>
      <c r="C5" s="46">
        <v>8.2614473331575955E-2</v>
      </c>
      <c r="D5" s="46">
        <v>8.2614473331575955E-2</v>
      </c>
      <c r="E5" s="46">
        <v>8.2614473331575955E-2</v>
      </c>
    </row>
    <row r="6" spans="1:5" ht="19.95" customHeight="1">
      <c r="A6" s="42" t="s">
        <v>44</v>
      </c>
      <c r="B6" s="43">
        <v>0.89154893468634133</v>
      </c>
      <c r="C6" s="43">
        <v>0.89154893468634133</v>
      </c>
      <c r="D6" s="43">
        <v>0.89154893468634133</v>
      </c>
      <c r="E6" s="43">
        <v>0.89154893468634133</v>
      </c>
    </row>
    <row r="7" spans="1:5" ht="19.95" customHeight="1">
      <c r="A7" s="45" t="s">
        <v>47</v>
      </c>
      <c r="B7" s="46">
        <v>9.0243985979284763E-2</v>
      </c>
      <c r="C7" s="46">
        <v>9.0243985979284763E-2</v>
      </c>
      <c r="D7" s="46">
        <v>9.0243985979284763E-2</v>
      </c>
      <c r="E7" s="46">
        <v>9.0243985979284763E-2</v>
      </c>
    </row>
    <row r="8" spans="1:5" ht="19.95" customHeight="1">
      <c r="A8" s="42" t="s">
        <v>11</v>
      </c>
      <c r="B8" s="44">
        <v>162.4</v>
      </c>
      <c r="C8" s="44">
        <v>162.4</v>
      </c>
      <c r="D8" s="44">
        <v>162.4</v>
      </c>
      <c r="E8" s="44">
        <v>162.4</v>
      </c>
    </row>
    <row r="9" spans="1:5" ht="19.95" customHeight="1">
      <c r="A9" s="45" t="s">
        <v>25</v>
      </c>
      <c r="B9" s="47">
        <v>418.8</v>
      </c>
      <c r="C9" s="47">
        <v>418.8</v>
      </c>
      <c r="D9" s="47">
        <v>418.8</v>
      </c>
      <c r="E9" s="47">
        <v>418.8</v>
      </c>
    </row>
    <row r="10" spans="1:5" ht="19.95" customHeight="1">
      <c r="A10" s="42" t="s">
        <v>48</v>
      </c>
      <c r="B10" s="43">
        <v>0.2477624151455588</v>
      </c>
      <c r="C10" s="43">
        <v>0.2477624151455588</v>
      </c>
      <c r="D10" s="43">
        <v>0.2477624151455588</v>
      </c>
      <c r="E10" s="43">
        <v>0.2477624151455588</v>
      </c>
    </row>
    <row r="11" spans="1:5" ht="19.95" customHeight="1">
      <c r="A11" s="45" t="s">
        <v>26</v>
      </c>
      <c r="B11" s="47">
        <v>444.6234</v>
      </c>
      <c r="C11" s="47">
        <v>444.62340000000006</v>
      </c>
      <c r="D11" s="47">
        <v>444.62340000000006</v>
      </c>
      <c r="E11" s="47">
        <v>444.62340000000006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ACCC-470D-4574-A919-BA540A8B9CC9}">
  <dimension ref="A1:F39"/>
  <sheetViews>
    <sheetView zoomScale="80" zoomScaleNormal="80" workbookViewId="0">
      <selection activeCell="C41" sqref="C41"/>
    </sheetView>
  </sheetViews>
  <sheetFormatPr defaultRowHeight="14.4"/>
  <cols>
    <col min="1" max="6" width="20.77734375" customWidth="1"/>
  </cols>
  <sheetData>
    <row r="1" spans="1:6" ht="22.8">
      <c r="A1" s="70" t="s">
        <v>49</v>
      </c>
      <c r="B1" s="70"/>
      <c r="C1" s="70"/>
      <c r="D1" s="70"/>
      <c r="E1" s="70"/>
      <c r="F1" s="70"/>
    </row>
    <row r="2" spans="1:6">
      <c r="A2" s="32" t="s">
        <v>15</v>
      </c>
      <c r="B2" s="31"/>
      <c r="C2" s="27"/>
      <c r="D2" s="27"/>
      <c r="E2" s="27"/>
      <c r="F2" s="27"/>
    </row>
    <row r="3" spans="1:6">
      <c r="A3" s="38" t="s">
        <v>16</v>
      </c>
      <c r="B3" s="38" t="s">
        <v>19</v>
      </c>
      <c r="C3" s="38" t="s">
        <v>39</v>
      </c>
      <c r="D3" s="38" t="s">
        <v>40</v>
      </c>
      <c r="E3" s="38" t="s">
        <v>41</v>
      </c>
      <c r="F3" s="38" t="s">
        <v>46</v>
      </c>
    </row>
    <row r="4" spans="1:6" ht="28.8">
      <c r="A4" s="28" t="s">
        <v>20</v>
      </c>
      <c r="B4" s="39">
        <f>'Historical Financials'!F4</f>
        <v>269912</v>
      </c>
      <c r="C4" s="39">
        <f>B4*(1+Assumptions!B4)</f>
        <v>294095.32655702223</v>
      </c>
      <c r="D4" s="39">
        <f>C4*(1+Assumptions!C4)</f>
        <v>320445.4085134471</v>
      </c>
      <c r="E4" s="39">
        <f>D4*(1+Assumptions!D4)</f>
        <v>349156.38082212204</v>
      </c>
      <c r="F4" s="39">
        <f>E4*(1+Assumptions!E4)</f>
        <v>380439.77236043592</v>
      </c>
    </row>
    <row r="5" spans="1:6" ht="28.8">
      <c r="A5" s="28" t="s">
        <v>21</v>
      </c>
      <c r="B5" s="39">
        <f>'Historical Financials'!F5</f>
        <v>5323</v>
      </c>
      <c r="C5" s="39">
        <f>B5*(1+Assumptions!B5)</f>
        <v>5762.7568415439782</v>
      </c>
      <c r="D5" s="39">
        <f>C5*(1+Assumptions!C5)</f>
        <v>6238.84396294607</v>
      </c>
      <c r="E5" s="39">
        <f>D5*(1+Assumptions!D5)</f>
        <v>6754.2627711427413</v>
      </c>
      <c r="F5" s="39">
        <f>E5*(1+Assumptions!E5)</f>
        <v>7312.2626327237695</v>
      </c>
    </row>
    <row r="6" spans="1:6" ht="28.8">
      <c r="A6" s="28" t="s">
        <v>6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</row>
    <row r="7" spans="1:6">
      <c r="A7" s="29" t="s">
        <v>7</v>
      </c>
      <c r="B7" s="30">
        <f>'Historical Financials'!F7</f>
        <v>275235</v>
      </c>
      <c r="C7" s="30">
        <f>SUM(C4:C6)</f>
        <v>299858.08339856623</v>
      </c>
      <c r="D7" s="30">
        <f t="shared" ref="D7:F7" si="0">SUM(D4:D6)</f>
        <v>326684.25247639319</v>
      </c>
      <c r="E7" s="30">
        <f t="shared" si="0"/>
        <v>355910.6435932648</v>
      </c>
      <c r="F7" s="30">
        <f t="shared" si="0"/>
        <v>387752.0349931597</v>
      </c>
    </row>
    <row r="8" spans="1:6">
      <c r="A8" s="25"/>
      <c r="B8" s="40"/>
      <c r="C8" s="40"/>
      <c r="D8" s="40"/>
      <c r="E8" s="40"/>
      <c r="F8" s="40"/>
    </row>
    <row r="9" spans="1:6" ht="28.8">
      <c r="A9" s="28" t="s">
        <v>23</v>
      </c>
      <c r="B9" s="39">
        <f>'Historical Financials'!F9</f>
        <v>239886</v>
      </c>
      <c r="C9" s="39">
        <f>C4*Assumptions!B6</f>
        <v>262200.37508814485</v>
      </c>
      <c r="D9" s="39">
        <f>D4*Assumptions!C6</f>
        <v>285692.76258529321</v>
      </c>
      <c r="E9" s="39">
        <f>E4*Assumptions!D6</f>
        <v>311289.99936090142</v>
      </c>
      <c r="F9" s="39">
        <f>F4*Assumptions!E6</f>
        <v>339180.67376026086</v>
      </c>
    </row>
    <row r="10" spans="1:6" ht="28.8">
      <c r="A10" s="29" t="s">
        <v>37</v>
      </c>
      <c r="B10" s="30">
        <f>'Historical Financials'!F10</f>
        <v>35349</v>
      </c>
      <c r="C10" s="30">
        <f>C7-C9</f>
        <v>37657.708310421382</v>
      </c>
      <c r="D10" s="30">
        <f t="shared" ref="D10:F10" si="1">D7-D9</f>
        <v>40991.489891099976</v>
      </c>
      <c r="E10" s="30">
        <f t="shared" si="1"/>
        <v>44620.644232363382</v>
      </c>
      <c r="F10" s="30">
        <f t="shared" si="1"/>
        <v>48571.361232898838</v>
      </c>
    </row>
    <row r="11" spans="1:6">
      <c r="A11" s="25"/>
      <c r="B11" s="25"/>
      <c r="C11" s="25"/>
      <c r="D11" s="25"/>
      <c r="E11" s="25"/>
      <c r="F11" s="25"/>
    </row>
    <row r="12" spans="1:6" ht="21">
      <c r="A12" s="41" t="s">
        <v>8</v>
      </c>
      <c r="B12" s="25"/>
      <c r="C12" s="25"/>
      <c r="D12" s="25"/>
      <c r="E12" s="25"/>
      <c r="F12" s="25"/>
    </row>
    <row r="13" spans="1:6">
      <c r="A13" s="28" t="s">
        <v>24</v>
      </c>
      <c r="B13" s="39">
        <f>B14</f>
        <v>24966</v>
      </c>
      <c r="C13" s="39">
        <f>C7*Assumptions!B7</f>
        <v>27060.38867399541</v>
      </c>
      <c r="D13" s="39">
        <f>D7*Assumptions!C7</f>
        <v>29481.289100132752</v>
      </c>
      <c r="E13" s="39">
        <f>E7*Assumptions!D7</f>
        <v>32118.795130308805</v>
      </c>
      <c r="F13" s="39">
        <f>F7*Assumptions!E7</f>
        <v>34992.289209361836</v>
      </c>
    </row>
    <row r="14" spans="1:6">
      <c r="A14" s="29" t="s">
        <v>9</v>
      </c>
      <c r="B14" s="30">
        <f>'Historical Financials'!F14</f>
        <v>24966</v>
      </c>
      <c r="C14" s="30">
        <f>C13</f>
        <v>27060.38867399541</v>
      </c>
      <c r="D14" s="30">
        <f t="shared" ref="D14:F14" si="2">D13</f>
        <v>29481.289100132752</v>
      </c>
      <c r="E14" s="30">
        <f t="shared" si="2"/>
        <v>32118.795130308805</v>
      </c>
      <c r="F14" s="30">
        <f t="shared" si="2"/>
        <v>34992.289209361836</v>
      </c>
    </row>
    <row r="15" spans="1:6" ht="28.8">
      <c r="A15" s="29" t="s">
        <v>10</v>
      </c>
      <c r="B15" s="30">
        <f>'Historical Financials'!F15</f>
        <v>10383</v>
      </c>
      <c r="C15" s="30">
        <f>C10-C14</f>
        <v>10597.319636425971</v>
      </c>
      <c r="D15" s="30">
        <f t="shared" ref="D15:F15" si="3">D10-D14</f>
        <v>11510.200790967225</v>
      </c>
      <c r="E15" s="30">
        <f t="shared" si="3"/>
        <v>12501.849102054577</v>
      </c>
      <c r="F15" s="30">
        <f t="shared" si="3"/>
        <v>13579.072023537003</v>
      </c>
    </row>
    <row r="16" spans="1:6">
      <c r="A16" s="25"/>
      <c r="B16" s="25"/>
      <c r="C16" s="25"/>
      <c r="D16" s="25"/>
      <c r="E16" s="25"/>
      <c r="F16" s="25"/>
    </row>
    <row r="17" spans="1:6">
      <c r="A17" s="28" t="s">
        <v>11</v>
      </c>
      <c r="B17" s="40">
        <f>'Historical Financials'!F17</f>
        <v>154</v>
      </c>
      <c r="C17" s="40">
        <f>Assumptions!B8</f>
        <v>162.4</v>
      </c>
      <c r="D17" s="40">
        <f>Assumptions!C8</f>
        <v>162.4</v>
      </c>
      <c r="E17" s="40">
        <f>Assumptions!D8</f>
        <v>162.4</v>
      </c>
      <c r="F17" s="40">
        <f>Assumptions!E8</f>
        <v>162.4</v>
      </c>
    </row>
    <row r="18" spans="1:6" ht="28.8">
      <c r="A18" s="28" t="s">
        <v>25</v>
      </c>
      <c r="B18" s="40">
        <f>'Historical Financials'!F18</f>
        <v>589</v>
      </c>
      <c r="C18" s="40">
        <f>Assumptions!B9</f>
        <v>418.8</v>
      </c>
      <c r="D18" s="40">
        <f>Assumptions!C9</f>
        <v>418.8</v>
      </c>
      <c r="E18" s="40">
        <f>Assumptions!D9</f>
        <v>418.8</v>
      </c>
      <c r="F18" s="40">
        <f>Assumptions!E9</f>
        <v>418.8</v>
      </c>
    </row>
    <row r="19" spans="1:6">
      <c r="A19" s="29" t="s">
        <v>12</v>
      </c>
      <c r="B19" s="30">
        <f>'Historical Financials'!F19</f>
        <v>10818</v>
      </c>
      <c r="C19" s="30">
        <f>C15-C17+C18</f>
        <v>10853.719636425971</v>
      </c>
      <c r="D19" s="30">
        <f>D15-D17+D18</f>
        <v>11766.600790967224</v>
      </c>
      <c r="E19" s="30">
        <f t="shared" ref="E19:F19" si="4">E15-E17+E18</f>
        <v>12758.249102054577</v>
      </c>
      <c r="F19" s="30">
        <f t="shared" si="4"/>
        <v>13835.472023537002</v>
      </c>
    </row>
    <row r="20" spans="1:6">
      <c r="A20" s="25"/>
      <c r="B20" s="25"/>
      <c r="C20" s="25"/>
      <c r="D20" s="25"/>
      <c r="E20" s="25"/>
      <c r="F20" s="25"/>
    </row>
    <row r="21" spans="1:6">
      <c r="A21" s="28" t="s">
        <v>13</v>
      </c>
      <c r="B21" s="39">
        <f>'Historical Financials'!F21</f>
        <v>2719</v>
      </c>
      <c r="C21" s="39">
        <f>C19*Assumptions!B10</f>
        <v>2689.1437904336749</v>
      </c>
      <c r="D21" s="39">
        <f>D19*Assumptions!C10</f>
        <v>2915.3214300236818</v>
      </c>
      <c r="E21" s="39">
        <f>E19*Assumptions!D10</f>
        <v>3161.0146105536987</v>
      </c>
      <c r="F21" s="39">
        <f>F19*Assumptions!E10</f>
        <v>3427.9099632303391</v>
      </c>
    </row>
    <row r="22" spans="1:6" ht="57.6">
      <c r="A22" s="28" t="s">
        <v>30</v>
      </c>
      <c r="B22" s="40">
        <v>0</v>
      </c>
      <c r="C22" s="40">
        <v>0</v>
      </c>
      <c r="D22" s="40">
        <v>0</v>
      </c>
      <c r="E22" s="40">
        <v>0</v>
      </c>
      <c r="F22" s="40">
        <v>0</v>
      </c>
    </row>
    <row r="23" spans="1:6" ht="28.8">
      <c r="A23" s="29" t="s">
        <v>31</v>
      </c>
      <c r="B23" s="30">
        <f>'Historical Financials'!F23</f>
        <v>8099</v>
      </c>
      <c r="C23" s="30">
        <f>C19-C21-C22</f>
        <v>8164.5758459922963</v>
      </c>
      <c r="D23" s="30">
        <f t="shared" ref="D23:F23" si="5">D19-D21-D22</f>
        <v>8851.279360943543</v>
      </c>
      <c r="E23" s="30">
        <f t="shared" si="5"/>
        <v>9597.234491500878</v>
      </c>
      <c r="F23" s="30">
        <f t="shared" si="5"/>
        <v>10407.562060306664</v>
      </c>
    </row>
    <row r="24" spans="1:6">
      <c r="A24" s="25"/>
      <c r="B24" s="48"/>
      <c r="C24" s="48"/>
      <c r="D24" s="48"/>
      <c r="E24" s="48"/>
      <c r="F24" s="48"/>
    </row>
    <row r="25" spans="1:6">
      <c r="A25" s="28" t="s">
        <v>26</v>
      </c>
      <c r="B25" s="49">
        <f>'Historical Financials'!F25</f>
        <v>444.803</v>
      </c>
      <c r="C25" s="49">
        <f>Assumptions!B11</f>
        <v>444.6234</v>
      </c>
      <c r="D25" s="49">
        <f>Assumptions!C11</f>
        <v>444.62340000000006</v>
      </c>
      <c r="E25" s="49">
        <f>Assumptions!D11</f>
        <v>444.62340000000006</v>
      </c>
      <c r="F25" s="49">
        <f>Assumptions!E11</f>
        <v>444.62340000000006</v>
      </c>
    </row>
    <row r="26" spans="1:6">
      <c r="A26" s="28" t="s">
        <v>27</v>
      </c>
      <c r="B26" s="40">
        <f>'Historical Financials'!F26</f>
        <v>18.21</v>
      </c>
      <c r="C26" s="49">
        <f>C23/C25</f>
        <v>18.362901831060391</v>
      </c>
      <c r="D26" s="49">
        <f t="shared" ref="D26:F26" si="6">D23/D25</f>
        <v>19.907362862466396</v>
      </c>
      <c r="E26" s="49">
        <f t="shared" si="6"/>
        <v>21.585086370849751</v>
      </c>
      <c r="F26" s="49">
        <f t="shared" si="6"/>
        <v>23.407589569749732</v>
      </c>
    </row>
    <row r="27" spans="1:6" ht="15">
      <c r="A27" s="24"/>
      <c r="B27" s="21"/>
      <c r="C27" s="21"/>
      <c r="D27" s="21"/>
      <c r="E27" s="21"/>
      <c r="F27" s="21"/>
    </row>
    <row r="29" spans="1:6" ht="15">
      <c r="A29" s="24"/>
      <c r="B29" s="21"/>
      <c r="C29" s="21"/>
      <c r="D29" s="21"/>
      <c r="E29" s="21"/>
      <c r="F29" s="21"/>
    </row>
    <row r="30" spans="1:6" ht="15">
      <c r="A30" s="23"/>
      <c r="B30" s="22"/>
      <c r="C30" s="22"/>
      <c r="D30" s="22"/>
      <c r="E30" s="22"/>
      <c r="F30" s="22"/>
    </row>
    <row r="31" spans="1:6" ht="15">
      <c r="A31" s="24"/>
      <c r="B31" s="21"/>
      <c r="C31" s="21"/>
      <c r="D31" s="21"/>
      <c r="E31" s="21"/>
      <c r="F31" s="21"/>
    </row>
    <row r="34" spans="1:6" ht="21">
      <c r="A34" s="56"/>
      <c r="B34" s="56"/>
      <c r="C34" s="56"/>
      <c r="D34" s="56"/>
      <c r="E34" s="56"/>
      <c r="F34" s="56"/>
    </row>
    <row r="35" spans="1:6">
      <c r="A35" s="50"/>
      <c r="B35" s="51"/>
      <c r="C35" s="51"/>
      <c r="D35" s="51"/>
      <c r="E35" s="51"/>
      <c r="F35" s="51"/>
    </row>
    <row r="36" spans="1:6">
      <c r="A36" s="52"/>
      <c r="B36" s="53"/>
      <c r="C36" s="53"/>
      <c r="D36" s="53"/>
      <c r="E36" s="53"/>
      <c r="F36" s="53"/>
    </row>
    <row r="37" spans="1:6">
      <c r="A37" s="52"/>
      <c r="B37" s="53"/>
      <c r="C37" s="53"/>
      <c r="D37" s="53"/>
      <c r="E37" s="53"/>
      <c r="F37" s="53"/>
    </row>
    <row r="38" spans="1:6">
      <c r="A38" s="54"/>
      <c r="B38" s="53"/>
      <c r="C38" s="53"/>
      <c r="D38" s="53"/>
      <c r="E38" s="53"/>
      <c r="F38" s="53"/>
    </row>
    <row r="39" spans="1:6">
      <c r="A39" s="54"/>
      <c r="B39" s="55"/>
      <c r="C39" s="55"/>
      <c r="D39" s="55"/>
      <c r="E39" s="55"/>
      <c r="F39" s="55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DDC6-6890-4D3F-B251-92266043318F}">
  <dimension ref="A1:J44"/>
  <sheetViews>
    <sheetView topLeftCell="A15" zoomScale="110" zoomScaleNormal="110" workbookViewId="0">
      <selection activeCell="J25" sqref="J25"/>
    </sheetView>
  </sheetViews>
  <sheetFormatPr defaultRowHeight="14.4"/>
  <cols>
    <col min="1" max="4" width="20.77734375" customWidth="1"/>
  </cols>
  <sheetData>
    <row r="1" spans="1:4" ht="22.8">
      <c r="A1" s="57" t="s">
        <v>50</v>
      </c>
      <c r="B1" s="57"/>
      <c r="C1" s="57"/>
      <c r="D1" s="57"/>
    </row>
    <row r="2" spans="1:4">
      <c r="A2" s="32" t="s">
        <v>15</v>
      </c>
      <c r="B2" s="31"/>
      <c r="C2" s="27"/>
      <c r="D2" s="27"/>
    </row>
    <row r="3" spans="1:4">
      <c r="A3" s="58" t="s">
        <v>52</v>
      </c>
      <c r="B3" s="58" t="s">
        <v>53</v>
      </c>
      <c r="C3" s="58" t="s">
        <v>54</v>
      </c>
      <c r="D3" s="58" t="s">
        <v>55</v>
      </c>
    </row>
    <row r="4" spans="1:4" ht="30" customHeight="1">
      <c r="A4" s="28" t="s">
        <v>42</v>
      </c>
      <c r="B4" s="59">
        <v>6.5000000000000002E-2</v>
      </c>
      <c r="C4" s="59">
        <f>Assumptions!B4</f>
        <v>8.9597078147774803E-2</v>
      </c>
      <c r="D4" s="59">
        <v>0.105</v>
      </c>
    </row>
    <row r="5" spans="1:4" ht="30" customHeight="1">
      <c r="A5" s="62" t="s">
        <v>43</v>
      </c>
      <c r="B5" s="63">
        <v>6.5000000000000002E-2</v>
      </c>
      <c r="C5" s="63">
        <f>Assumptions!B5</f>
        <v>8.2614473331575955E-2</v>
      </c>
      <c r="D5" s="63">
        <v>9.5000000000000001E-2</v>
      </c>
    </row>
    <row r="6" spans="1:4" ht="30" customHeight="1">
      <c r="A6" s="28" t="s">
        <v>44</v>
      </c>
      <c r="B6" s="59">
        <v>0.89500000000000002</v>
      </c>
      <c r="C6" s="59">
        <f>Assumptions!B6</f>
        <v>0.89154893468634133</v>
      </c>
      <c r="D6" s="59">
        <v>0.88700000000000001</v>
      </c>
    </row>
    <row r="7" spans="1:4" ht="30" customHeight="1">
      <c r="A7" s="62" t="s">
        <v>47</v>
      </c>
      <c r="B7" s="63">
        <v>9.1999999999999998E-2</v>
      </c>
      <c r="C7" s="63">
        <f>Assumptions!B7</f>
        <v>9.0243985979284763E-2</v>
      </c>
      <c r="D7" s="63">
        <v>8.7999999999999995E-2</v>
      </c>
    </row>
    <row r="8" spans="1:4" ht="30" customHeight="1">
      <c r="A8" s="28" t="s">
        <v>11</v>
      </c>
      <c r="B8" s="61">
        <f>C8</f>
        <v>162.4</v>
      </c>
      <c r="C8" s="61">
        <f>Assumptions!B8</f>
        <v>162.4</v>
      </c>
      <c r="D8" s="61">
        <f>C8</f>
        <v>162.4</v>
      </c>
    </row>
    <row r="9" spans="1:4" ht="30" customHeight="1">
      <c r="A9" s="62" t="s">
        <v>25</v>
      </c>
      <c r="B9" s="64">
        <f>C9</f>
        <v>418.8</v>
      </c>
      <c r="C9" s="64">
        <f>Assumptions!B9</f>
        <v>418.8</v>
      </c>
      <c r="D9" s="64">
        <f>C9</f>
        <v>418.8</v>
      </c>
    </row>
    <row r="10" spans="1:4" ht="30" customHeight="1">
      <c r="A10" s="28" t="s">
        <v>48</v>
      </c>
      <c r="B10" s="65">
        <v>0.25</v>
      </c>
      <c r="C10" s="59">
        <f>Assumptions!B10</f>
        <v>0.2477624151455588</v>
      </c>
      <c r="D10" s="59">
        <v>0.245</v>
      </c>
    </row>
    <row r="11" spans="1:4" ht="30" customHeight="1">
      <c r="A11" s="62" t="s">
        <v>26</v>
      </c>
      <c r="B11" s="62">
        <f>C11</f>
        <v>444.6234</v>
      </c>
      <c r="C11" s="62">
        <f>Assumptions!B11</f>
        <v>444.6234</v>
      </c>
      <c r="D11" s="62">
        <f>C11</f>
        <v>444.6234</v>
      </c>
    </row>
    <row r="17" spans="1:10" ht="22.8">
      <c r="A17" s="57" t="s">
        <v>51</v>
      </c>
      <c r="B17" s="57"/>
      <c r="C17" s="57"/>
      <c r="D17" s="57"/>
    </row>
    <row r="18" spans="1:10">
      <c r="A18" s="32" t="s">
        <v>15</v>
      </c>
      <c r="B18" s="31"/>
      <c r="C18" s="27"/>
      <c r="D18" s="27"/>
    </row>
    <row r="19" spans="1:10">
      <c r="A19" s="58" t="s">
        <v>56</v>
      </c>
      <c r="B19" s="58" t="s">
        <v>53</v>
      </c>
      <c r="C19" s="58" t="s">
        <v>54</v>
      </c>
      <c r="D19" s="58" t="s">
        <v>55</v>
      </c>
    </row>
    <row r="20" spans="1:10" ht="30" customHeight="1">
      <c r="A20" s="66" t="s">
        <v>20</v>
      </c>
      <c r="B20" s="67">
        <f>'Operating Forecase'!B4*(1+'Scenario Analysis'!B4)^4</f>
        <v>347232.70562989492</v>
      </c>
      <c r="C20" s="67">
        <f>'Operating Forecase'!B4*(1+'Scenario Analysis'!C4)^4</f>
        <v>380439.77236043586</v>
      </c>
      <c r="D20" s="67">
        <f>'Operating Forecase'!C4*(1+'Scenario Analysis'!D4)^4</f>
        <v>438467.32544309349</v>
      </c>
    </row>
    <row r="21" spans="1:10" ht="30" customHeight="1">
      <c r="A21" s="62" t="s">
        <v>21</v>
      </c>
      <c r="B21" s="68">
        <f>'Operating Forecase'!B5*(1+'Scenario Analysis'!B5)^4</f>
        <v>6847.8603843768724</v>
      </c>
      <c r="C21" s="68">
        <f>'Operating Forecase'!C5*(1+'Scenario Analysis'!C5)^4</f>
        <v>7916.3613589884062</v>
      </c>
      <c r="D21" s="68">
        <f>'Operating Forecase'!D5*(1+'Scenario Analysis'!D5)^4</f>
        <v>8969.3423425700894</v>
      </c>
    </row>
    <row r="22" spans="1:10" ht="30" customHeight="1">
      <c r="A22" s="28" t="s">
        <v>7</v>
      </c>
      <c r="B22" s="60">
        <f>SUM(B20,B21)</f>
        <v>354080.56601427181</v>
      </c>
      <c r="C22" s="60">
        <f>SUM(C20,C21)</f>
        <v>388356.13371942425</v>
      </c>
      <c r="D22" s="60">
        <f t="shared" ref="D22" si="0">SUM(D20,D21)</f>
        <v>447436.66778566357</v>
      </c>
    </row>
    <row r="23" spans="1:10" ht="30" customHeight="1">
      <c r="A23" s="62" t="s">
        <v>23</v>
      </c>
      <c r="B23" s="68">
        <f>B20*B6</f>
        <v>310773.27153875597</v>
      </c>
      <c r="C23" s="68">
        <f t="shared" ref="C23" si="1">C20*C6</f>
        <v>339180.6737602608</v>
      </c>
      <c r="D23" s="68">
        <f>D20*D6</f>
        <v>388920.51766802394</v>
      </c>
    </row>
    <row r="24" spans="1:10" ht="30" customHeight="1">
      <c r="A24" s="28" t="s">
        <v>37</v>
      </c>
      <c r="B24" s="60">
        <f>B22-B23</f>
        <v>43307.294475515839</v>
      </c>
      <c r="C24" s="60">
        <f t="shared" ref="C24:D24" si="2">C22-C23</f>
        <v>49175.459959163447</v>
      </c>
      <c r="D24" s="60">
        <f t="shared" si="2"/>
        <v>58516.150117639627</v>
      </c>
    </row>
    <row r="25" spans="1:10" ht="30" customHeight="1">
      <c r="A25" s="62" t="s">
        <v>24</v>
      </c>
      <c r="B25" s="68">
        <f>B22*B7</f>
        <v>32575.412073313008</v>
      </c>
      <c r="C25" s="68">
        <f t="shared" ref="C25:D25" si="3">C22*C7</f>
        <v>35046.805486344958</v>
      </c>
      <c r="D25" s="68">
        <f t="shared" si="3"/>
        <v>39374.426765138393</v>
      </c>
    </row>
    <row r="26" spans="1:10" ht="30" customHeight="1">
      <c r="A26" s="28" t="s">
        <v>10</v>
      </c>
      <c r="B26" s="68">
        <f>B24-B25</f>
        <v>10731.882402202831</v>
      </c>
      <c r="C26" s="68">
        <f t="shared" ref="C26:D26" si="4">C24-C25</f>
        <v>14128.654472818489</v>
      </c>
      <c r="D26" s="68">
        <f t="shared" si="4"/>
        <v>19141.723352501234</v>
      </c>
    </row>
    <row r="27" spans="1:10" ht="30" customHeight="1">
      <c r="A27" s="62" t="s">
        <v>12</v>
      </c>
      <c r="B27" s="68">
        <f>B26-B8+B9</f>
        <v>10988.282402202831</v>
      </c>
      <c r="C27" s="68">
        <f>C26-C8+C9</f>
        <v>14385.054472818489</v>
      </c>
      <c r="D27" s="68">
        <f>D26-D8+D9</f>
        <v>19398.123352501232</v>
      </c>
    </row>
    <row r="28" spans="1:10" ht="30" customHeight="1">
      <c r="A28" s="28" t="s">
        <v>13</v>
      </c>
      <c r="B28" s="60">
        <f>B26*B10</f>
        <v>2682.9706005507078</v>
      </c>
      <c r="C28" s="60">
        <f t="shared" ref="C28:D28" si="5">C26*C10</f>
        <v>3500.5495549426105</v>
      </c>
      <c r="D28" s="60">
        <f t="shared" si="5"/>
        <v>4689.722221362802</v>
      </c>
    </row>
    <row r="29" spans="1:10" ht="30" customHeight="1">
      <c r="A29" s="62" t="s">
        <v>31</v>
      </c>
      <c r="B29" s="68">
        <f>B27-B28</f>
        <v>8305.3118016521221</v>
      </c>
      <c r="C29" s="68">
        <f>C27-C28</f>
        <v>10884.504917875878</v>
      </c>
      <c r="D29" s="68">
        <f t="shared" ref="D29" si="6">D27-D28</f>
        <v>14708.401131138431</v>
      </c>
    </row>
    <row r="30" spans="1:10" ht="30" customHeight="1">
      <c r="A30" s="28" t="s">
        <v>27</v>
      </c>
      <c r="B30" s="61">
        <f>B29/B11</f>
        <v>18.679430281114584</v>
      </c>
      <c r="C30" s="61">
        <f t="shared" ref="C30:D30" si="7">C29/C11</f>
        <v>24.48027908084882</v>
      </c>
      <c r="D30" s="61">
        <f t="shared" si="7"/>
        <v>33.080582648458069</v>
      </c>
      <c r="E30" s="81"/>
      <c r="F30" s="81"/>
      <c r="G30" s="81"/>
      <c r="H30" s="81"/>
      <c r="I30" s="82"/>
      <c r="J30" s="82"/>
    </row>
    <row r="31" spans="1:10">
      <c r="E31" s="83"/>
      <c r="F31" s="84"/>
      <c r="G31" s="85"/>
      <c r="H31" s="85"/>
      <c r="I31" s="82"/>
      <c r="J31" s="82"/>
    </row>
    <row r="32" spans="1:10">
      <c r="E32" s="92"/>
      <c r="F32" s="93"/>
      <c r="G32" s="93"/>
      <c r="H32" s="93"/>
      <c r="I32" s="93"/>
      <c r="J32" s="93"/>
    </row>
    <row r="33" spans="1:10">
      <c r="E33" s="86"/>
      <c r="F33" s="87"/>
      <c r="G33" s="87"/>
      <c r="H33" s="87"/>
      <c r="I33" s="87"/>
      <c r="J33" s="87"/>
    </row>
    <row r="34" spans="1:10">
      <c r="E34" s="86"/>
      <c r="F34" s="88"/>
      <c r="G34" s="88"/>
      <c r="H34" s="88"/>
      <c r="I34" s="88"/>
      <c r="J34" s="88"/>
    </row>
    <row r="35" spans="1:10" ht="22.8">
      <c r="A35" s="81"/>
      <c r="B35" s="81"/>
      <c r="C35" s="98"/>
      <c r="D35" s="81"/>
      <c r="E35" s="82"/>
      <c r="F35" s="82"/>
      <c r="G35" s="90"/>
      <c r="H35" s="90"/>
      <c r="I35" s="90"/>
      <c r="J35" s="90"/>
    </row>
    <row r="36" spans="1:10">
      <c r="A36" s="83"/>
      <c r="B36" s="84"/>
      <c r="C36" s="99"/>
      <c r="D36" s="85"/>
      <c r="E36" s="82"/>
      <c r="F36" s="82"/>
      <c r="G36" s="90"/>
      <c r="H36" s="90"/>
      <c r="I36" s="90"/>
      <c r="J36" s="90"/>
    </row>
    <row r="37" spans="1:10">
      <c r="A37" s="92"/>
      <c r="B37" s="93"/>
      <c r="C37" s="93"/>
      <c r="D37" s="93"/>
      <c r="E37" s="93"/>
      <c r="F37" s="93"/>
      <c r="G37" s="90"/>
      <c r="H37" s="91"/>
      <c r="I37" s="90"/>
      <c r="J37" s="90"/>
    </row>
    <row r="38" spans="1:10">
      <c r="A38" s="94"/>
      <c r="B38" s="94"/>
      <c r="C38" s="97"/>
      <c r="D38" s="94"/>
      <c r="E38" s="94"/>
      <c r="F38" s="94"/>
      <c r="G38" s="90"/>
      <c r="H38" s="90"/>
      <c r="I38" s="90"/>
      <c r="J38" s="90"/>
    </row>
    <row r="39" spans="1:10">
      <c r="A39" s="94"/>
      <c r="B39" s="95"/>
      <c r="C39" s="100"/>
      <c r="D39" s="95"/>
      <c r="E39" s="95"/>
      <c r="F39" s="95"/>
      <c r="G39" s="90"/>
      <c r="H39" s="90"/>
      <c r="I39" s="82"/>
      <c r="J39" s="82"/>
    </row>
    <row r="40" spans="1:10">
      <c r="A40" s="96"/>
      <c r="B40" s="96"/>
      <c r="C40" s="96"/>
      <c r="D40" s="96"/>
      <c r="E40" s="96"/>
      <c r="F40" s="96"/>
    </row>
    <row r="41" spans="1:10">
      <c r="A41" s="96"/>
      <c r="B41" s="96"/>
      <c r="C41" s="96"/>
      <c r="D41" s="96"/>
      <c r="E41" s="96"/>
      <c r="F41" s="96"/>
    </row>
    <row r="42" spans="1:10">
      <c r="A42" s="96"/>
      <c r="B42" s="96"/>
      <c r="C42" s="96"/>
      <c r="D42" s="97"/>
      <c r="E42" s="96"/>
      <c r="F42" s="96"/>
    </row>
    <row r="43" spans="1:10">
      <c r="A43" s="96"/>
      <c r="B43" s="96"/>
      <c r="C43" s="96"/>
      <c r="D43" s="96"/>
      <c r="E43" s="96"/>
      <c r="F43" s="96"/>
    </row>
    <row r="44" spans="1:10">
      <c r="A44" s="89"/>
      <c r="B44" s="90"/>
      <c r="C44" s="90"/>
      <c r="D44" s="90"/>
      <c r="E44" s="82"/>
      <c r="F44" s="8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CECF-B40A-4D47-8EF7-6420C275424E}">
  <dimension ref="A1:G22"/>
  <sheetViews>
    <sheetView workbookViewId="0">
      <selection activeCell="D29" sqref="D29"/>
    </sheetView>
  </sheetViews>
  <sheetFormatPr defaultRowHeight="14.4"/>
  <cols>
    <col min="1" max="4" width="20.77734375" customWidth="1"/>
  </cols>
  <sheetData>
    <row r="1" spans="1:7" ht="22.8">
      <c r="A1" s="57" t="s">
        <v>57</v>
      </c>
      <c r="B1" s="57"/>
      <c r="C1" s="57"/>
      <c r="D1" s="57"/>
      <c r="E1" s="72"/>
      <c r="F1" s="72"/>
    </row>
    <row r="2" spans="1:7">
      <c r="A2" s="32" t="s">
        <v>15</v>
      </c>
      <c r="B2" s="31"/>
      <c r="C2" s="27"/>
      <c r="D2" s="27"/>
      <c r="E2" s="72"/>
      <c r="F2" s="72"/>
    </row>
    <row r="3" spans="1:7">
      <c r="A3" s="77" t="s">
        <v>44</v>
      </c>
      <c r="B3" s="76"/>
      <c r="C3" s="76"/>
      <c r="D3" s="76"/>
      <c r="E3" s="76"/>
      <c r="F3" s="76"/>
    </row>
    <row r="4" spans="1:7">
      <c r="A4" s="101">
        <f>'Scenario Analysis'!C30</f>
        <v>24.48027908084882</v>
      </c>
      <c r="B4" s="104">
        <f>'Scenario Analysis'!D6</f>
        <v>0.88700000000000001</v>
      </c>
      <c r="C4" s="104">
        <v>0.89</v>
      </c>
      <c r="D4" s="104">
        <f>'Scenario Analysis'!C6</f>
        <v>0.89154893468634133</v>
      </c>
      <c r="E4" s="104">
        <v>0.89300000000000002</v>
      </c>
      <c r="F4" s="104">
        <f>'Scenario Analysis'!B6</f>
        <v>0.89500000000000002</v>
      </c>
    </row>
    <row r="5" spans="1:7">
      <c r="A5" s="38" t="s">
        <v>42</v>
      </c>
      <c r="B5" s="108" t="s">
        <v>22</v>
      </c>
      <c r="C5" s="108" t="s">
        <v>22</v>
      </c>
      <c r="D5" s="108" t="s">
        <v>22</v>
      </c>
      <c r="E5" s="108" t="s">
        <v>22</v>
      </c>
      <c r="F5" s="108" t="s">
        <v>22</v>
      </c>
    </row>
    <row r="6" spans="1:7">
      <c r="A6" s="102">
        <v>6.5000000000000002E-2</v>
      </c>
      <c r="B6" s="25">
        <v>27.04</v>
      </c>
      <c r="C6" s="25">
        <v>25.16</v>
      </c>
      <c r="D6" s="105">
        <v>24.21</v>
      </c>
      <c r="E6" s="25">
        <v>23.27</v>
      </c>
      <c r="F6" s="25">
        <v>22.01</v>
      </c>
    </row>
    <row r="7" spans="1:7">
      <c r="A7" s="103">
        <v>0.08</v>
      </c>
      <c r="B7" s="106">
        <v>27.25</v>
      </c>
      <c r="C7" s="106">
        <v>25.33</v>
      </c>
      <c r="D7" s="107">
        <v>24.38</v>
      </c>
      <c r="E7" s="106">
        <v>23.42</v>
      </c>
      <c r="F7" s="106">
        <v>22.14</v>
      </c>
    </row>
    <row r="8" spans="1:7">
      <c r="A8" s="103">
        <v>8.9599999999999999E-2</v>
      </c>
      <c r="B8" s="25">
        <v>27.38</v>
      </c>
      <c r="C8" s="25">
        <v>25.45</v>
      </c>
      <c r="D8" s="105">
        <v>24.48</v>
      </c>
      <c r="E8" s="25">
        <v>23.51</v>
      </c>
      <c r="F8" s="25">
        <v>22.23</v>
      </c>
    </row>
    <row r="9" spans="1:7">
      <c r="A9" s="103">
        <v>0.1</v>
      </c>
      <c r="B9" s="106">
        <v>27.52</v>
      </c>
      <c r="C9" s="106">
        <v>25.57</v>
      </c>
      <c r="D9" s="107">
        <v>24.59</v>
      </c>
      <c r="E9" s="106">
        <v>23.62</v>
      </c>
      <c r="F9" s="106">
        <v>22.32</v>
      </c>
    </row>
    <row r="10" spans="1:7">
      <c r="A10" s="103">
        <v>0.105</v>
      </c>
      <c r="B10" s="25">
        <v>27.58</v>
      </c>
      <c r="C10" s="25">
        <v>25.63</v>
      </c>
      <c r="D10" s="105">
        <v>24.65</v>
      </c>
      <c r="E10" s="25">
        <v>23.67</v>
      </c>
      <c r="F10" s="25">
        <v>22.36</v>
      </c>
    </row>
    <row r="11" spans="1:7">
      <c r="A11" s="73"/>
      <c r="B11" s="74"/>
      <c r="C11" s="74"/>
      <c r="D11" s="74"/>
      <c r="G11" s="110"/>
    </row>
    <row r="12" spans="1:7">
      <c r="A12" s="73"/>
      <c r="B12" s="74"/>
      <c r="C12" s="74"/>
      <c r="D12" s="74"/>
    </row>
    <row r="13" spans="1:7">
      <c r="A13" s="73"/>
      <c r="B13" s="74"/>
      <c r="C13" s="74"/>
      <c r="D13" s="74"/>
    </row>
    <row r="14" spans="1:7">
      <c r="A14" s="73"/>
      <c r="B14" s="74"/>
      <c r="C14" s="74"/>
      <c r="D14" s="74"/>
    </row>
    <row r="15" spans="1:7">
      <c r="A15" s="73"/>
      <c r="B15" s="74"/>
      <c r="C15" s="74"/>
      <c r="D15" s="74"/>
    </row>
    <row r="16" spans="1:7">
      <c r="A16" s="73"/>
      <c r="B16" s="75"/>
      <c r="C16" s="75"/>
      <c r="D16" s="75"/>
    </row>
    <row r="18" spans="4:4">
      <c r="D18" s="110"/>
    </row>
    <row r="22" spans="4:4">
      <c r="D22" s="110"/>
    </row>
  </sheetData>
  <mergeCells count="1">
    <mergeCell ref="A3:F3"/>
  </mergeCells>
  <conditionalFormatting sqref="B6:F1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226A-AF07-4BB7-8DF4-B88339E888E3}">
  <dimension ref="A1:I6"/>
  <sheetViews>
    <sheetView zoomScale="80" zoomScaleNormal="80" workbookViewId="0">
      <selection activeCell="B17" sqref="B17"/>
    </sheetView>
  </sheetViews>
  <sheetFormatPr defaultRowHeight="14.4"/>
  <cols>
    <col min="1" max="1" width="78.21875" bestFit="1" customWidth="1"/>
    <col min="2" max="2" width="16.5546875" bestFit="1" customWidth="1"/>
    <col min="3" max="6" width="20.77734375" customWidth="1"/>
  </cols>
  <sheetData>
    <row r="1" spans="1:9" ht="22.8" customHeight="1">
      <c r="A1" s="70" t="s">
        <v>58</v>
      </c>
      <c r="B1" s="70"/>
      <c r="C1" s="98"/>
      <c r="D1" s="116" t="s">
        <v>60</v>
      </c>
      <c r="E1" s="116"/>
      <c r="F1" s="116"/>
      <c r="G1" s="116"/>
      <c r="H1" s="116"/>
      <c r="I1" s="116"/>
    </row>
    <row r="2" spans="1:9" ht="14.4" customHeight="1">
      <c r="A2" s="120" t="s">
        <v>15</v>
      </c>
      <c r="B2" s="31"/>
      <c r="C2" s="85"/>
      <c r="D2" s="120" t="s">
        <v>15</v>
      </c>
      <c r="E2" s="119"/>
      <c r="F2" s="119"/>
      <c r="G2" s="119"/>
      <c r="H2" s="119"/>
      <c r="I2" s="119"/>
    </row>
    <row r="3" spans="1:9" ht="14.4" customHeight="1">
      <c r="A3" s="111" t="s">
        <v>59</v>
      </c>
      <c r="B3" s="112" t="s">
        <v>7</v>
      </c>
      <c r="C3" s="93"/>
      <c r="D3" s="117" t="s">
        <v>59</v>
      </c>
      <c r="E3" s="117"/>
      <c r="F3" s="117"/>
      <c r="G3" s="112"/>
      <c r="H3" s="117" t="s">
        <v>27</v>
      </c>
      <c r="I3" s="117"/>
    </row>
    <row r="4" spans="1:9">
      <c r="A4" s="78" t="s">
        <v>53</v>
      </c>
      <c r="B4" s="113">
        <v>354081</v>
      </c>
      <c r="C4" s="87"/>
      <c r="D4" s="78" t="s">
        <v>53</v>
      </c>
      <c r="E4" s="78"/>
      <c r="F4" s="78"/>
      <c r="G4" s="113"/>
      <c r="H4" s="118">
        <v>18.68</v>
      </c>
      <c r="I4" s="118"/>
    </row>
    <row r="5" spans="1:9">
      <c r="A5" s="25" t="s">
        <v>54</v>
      </c>
      <c r="B5" s="114">
        <v>388356</v>
      </c>
      <c r="C5" s="88"/>
      <c r="D5" s="25" t="s">
        <v>54</v>
      </c>
      <c r="E5" s="25"/>
      <c r="F5" s="25"/>
      <c r="G5" s="114"/>
      <c r="H5" s="26">
        <v>24.48</v>
      </c>
      <c r="I5" s="26"/>
    </row>
    <row r="6" spans="1:9">
      <c r="A6" s="78" t="s">
        <v>55</v>
      </c>
      <c r="B6" s="113">
        <v>447437</v>
      </c>
      <c r="D6" s="78" t="s">
        <v>55</v>
      </c>
      <c r="E6" s="78"/>
      <c r="F6" s="78"/>
      <c r="G6" s="113"/>
      <c r="H6" s="118">
        <v>33.08</v>
      </c>
      <c r="I6" s="118"/>
    </row>
  </sheetData>
  <mergeCells count="2">
    <mergeCell ref="D1:I1"/>
    <mergeCell ref="A1:B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0EBF-A673-4ACB-B681-37A9E338B599}">
  <dimension ref="A1:J5"/>
  <sheetViews>
    <sheetView tabSelected="1" zoomScale="80" zoomScaleNormal="80" workbookViewId="0">
      <selection activeCell="D43" sqref="D43"/>
    </sheetView>
  </sheetViews>
  <sheetFormatPr defaultRowHeight="14.4"/>
  <cols>
    <col min="1" max="3" width="30.77734375" customWidth="1"/>
    <col min="4" max="4" width="20.77734375" customWidth="1"/>
    <col min="5" max="7" width="30.77734375" customWidth="1"/>
    <col min="8" max="10" width="20.77734375" customWidth="1"/>
  </cols>
  <sheetData>
    <row r="1" spans="1:10" ht="25.8">
      <c r="A1" s="124" t="s">
        <v>61</v>
      </c>
      <c r="B1" s="124"/>
      <c r="C1" s="124"/>
      <c r="D1" s="109"/>
      <c r="E1" s="124" t="s">
        <v>64</v>
      </c>
      <c r="F1" s="124"/>
      <c r="G1" s="124"/>
      <c r="H1" s="109"/>
      <c r="I1" s="109"/>
      <c r="J1" s="109"/>
    </row>
    <row r="2" spans="1:10" ht="28.8" customHeight="1">
      <c r="A2" s="121" t="s">
        <v>59</v>
      </c>
      <c r="B2" s="121" t="s">
        <v>62</v>
      </c>
      <c r="C2" s="121" t="s">
        <v>63</v>
      </c>
      <c r="E2" s="121" t="s">
        <v>59</v>
      </c>
      <c r="F2" s="121" t="s">
        <v>65</v>
      </c>
      <c r="G2" s="121" t="s">
        <v>66</v>
      </c>
    </row>
    <row r="3" spans="1:10" ht="28.8" customHeight="1">
      <c r="A3" s="115" t="s">
        <v>53</v>
      </c>
      <c r="B3" s="123">
        <v>10732</v>
      </c>
      <c r="C3" s="123">
        <v>8305</v>
      </c>
      <c r="E3" s="125" t="s">
        <v>53</v>
      </c>
      <c r="F3" s="125">
        <v>3.0300000000000001E-2</v>
      </c>
      <c r="G3" s="125">
        <v>2.35E-2</v>
      </c>
    </row>
    <row r="4" spans="1:10" ht="28.8" customHeight="1">
      <c r="A4" s="80" t="s">
        <v>54</v>
      </c>
      <c r="B4" s="122">
        <v>14129</v>
      </c>
      <c r="C4" s="122">
        <v>10885</v>
      </c>
      <c r="E4" s="79" t="s">
        <v>54</v>
      </c>
      <c r="F4" s="79">
        <v>3.6400000000000002E-2</v>
      </c>
      <c r="G4" s="79">
        <v>2.8000000000000001E-2</v>
      </c>
    </row>
    <row r="5" spans="1:10">
      <c r="A5" s="115" t="s">
        <v>55</v>
      </c>
      <c r="B5" s="123">
        <v>19142</v>
      </c>
      <c r="C5" s="123">
        <v>14708</v>
      </c>
      <c r="E5" s="125" t="s">
        <v>55</v>
      </c>
      <c r="F5" s="125">
        <v>4.2799999999999998E-2</v>
      </c>
      <c r="G5" s="125">
        <v>3.2899999999999999E-2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Historical Financials</vt:lpstr>
      <vt:lpstr>Assumptions</vt:lpstr>
      <vt:lpstr>Operating Forecase</vt:lpstr>
      <vt:lpstr>Scenario Analysis</vt:lpstr>
      <vt:lpstr>Sensitivity Analysis</vt:lpstr>
      <vt:lpstr>Graphs Part 1</vt:lpstr>
      <vt:lpstr>Graphs 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berhe</dc:creator>
  <cp:lastModifiedBy>hilal berhe</cp:lastModifiedBy>
  <dcterms:created xsi:type="dcterms:W3CDTF">2026-06-23T14:55:07Z</dcterms:created>
  <dcterms:modified xsi:type="dcterms:W3CDTF">2026-06-25T19:00:23Z</dcterms:modified>
</cp:coreProperties>
</file>